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IT0001\Desktop\"/>
    </mc:Choice>
  </mc:AlternateContent>
  <xr:revisionPtr revIDLastSave="0" documentId="13_ncr:1_{F6BFF594-B0FC-4CCB-99F2-960FD8A8A25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EDA" sheetId="2" r:id="rId2"/>
  </sheets>
  <definedNames>
    <definedName name="_xlnm._FilterDatabase" localSheetId="0" hidden="1">Sheet1!$A$1:$A$1201</definedName>
  </definedNames>
  <calcPr calcId="191029"/>
</workbook>
</file>

<file path=xl/calcChain.xml><?xml version="1.0" encoding="utf-8"?>
<calcChain xmlns="http://schemas.openxmlformats.org/spreadsheetml/2006/main">
  <c r="I6" i="2" l="1"/>
  <c r="I5" i="2"/>
  <c r="I4" i="2"/>
  <c r="I3" i="2"/>
  <c r="I2" i="2"/>
  <c r="F8" i="2"/>
  <c r="F7" i="2"/>
  <c r="F6" i="2"/>
  <c r="F5" i="2"/>
  <c r="F4" i="2"/>
  <c r="F3" i="2"/>
  <c r="F2" i="2"/>
  <c r="E8" i="2"/>
  <c r="E7" i="2"/>
  <c r="E6" i="2"/>
  <c r="E5" i="2"/>
  <c r="E4" i="2"/>
  <c r="E3" i="2"/>
  <c r="E2" i="2"/>
  <c r="B12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<sst xmlns="http://schemas.openxmlformats.org/spreadsheetml/2006/main" count="10846" uniqueCount="4301">
  <si>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</si>
  <si>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</si>
  <si>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</si>
  <si>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</si>
  <si>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</si>
  <si>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</si>
  <si>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</si>
  <si>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</si>
  <si>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</si>
  <si>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</si>
  <si>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</si>
  <si>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</si>
  <si>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</si>
  <si>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</si>
  <si>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</si>
  <si>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</si>
  <si>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</si>
  <si>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</si>
  <si>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</si>
  <si>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</si>
  <si>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</si>
  <si>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</si>
  <si>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</si>
  <si>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</si>
  <si>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</si>
  <si>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</si>
  <si>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</si>
  <si>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</si>
  <si>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</si>
  <si>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</si>
  <si>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</si>
  <si>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</si>
  <si>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</si>
  <si>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</si>
  <si>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</si>
  <si>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</si>
  <si>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</si>
  <si>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</si>
  <si>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</si>
  <si>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</si>
  <si>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</si>
  <si>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</si>
  <si>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</si>
  <si>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</si>
  <si>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</si>
  <si>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</si>
  <si>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</si>
  <si>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</si>
  <si>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</si>
  <si>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</si>
  <si>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</si>
  <si>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</si>
  <si>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</si>
  <si>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</si>
  <si>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</si>
  <si>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</si>
  <si>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</si>
  <si>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</si>
  <si>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</si>
  <si>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</si>
  <si>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</si>
  <si>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</si>
  <si>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</si>
  <si>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</si>
  <si>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</si>
  <si>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</si>
  <si>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</si>
  <si>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</si>
  <si>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</si>
  <si>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</si>
  <si>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</si>
  <si>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</si>
  <si>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</si>
  <si>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</si>
  <si>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</si>
  <si>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</si>
  <si>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</si>
  <si>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</si>
  <si>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</si>
  <si>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</si>
  <si>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</si>
  <si>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</si>
  <si>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</si>
  <si>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</si>
  <si>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</si>
  <si>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</si>
  <si>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</si>
  <si>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</si>
  <si>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</si>
  <si>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</si>
  <si>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</si>
  <si>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</si>
  <si>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</si>
  <si>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</si>
  <si>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</si>
  <si>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</si>
  <si>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</si>
  <si>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</si>
  <si>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</si>
  <si>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</si>
  <si>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</si>
  <si>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</si>
  <si>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</si>
  <si>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</si>
  <si>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</si>
  <si>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</si>
  <si>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</si>
  <si>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</si>
  <si>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</si>
  <si>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</si>
  <si>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</si>
  <si>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</si>
  <si>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</si>
  <si>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</si>
  <si>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</si>
  <si>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</si>
  <si>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</si>
  <si>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</si>
  <si>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</si>
  <si>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</si>
  <si>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</si>
  <si>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</si>
  <si>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</si>
  <si>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</si>
  <si>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</si>
  <si>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</si>
  <si>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</si>
  <si>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</si>
  <si>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</si>
  <si>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</si>
  <si>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</si>
  <si>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</si>
  <si>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</si>
  <si>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</si>
  <si>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</si>
  <si>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</si>
  <si>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</si>
  <si>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</si>
  <si>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</si>
  <si>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</si>
  <si>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</si>
  <si>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</si>
  <si>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</si>
  <si>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</si>
  <si>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</si>
  <si>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</si>
  <si>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</si>
  <si>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</si>
  <si>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</si>
  <si>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</si>
  <si>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</si>
  <si>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</si>
  <si>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</si>
  <si>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</si>
  <si>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</si>
  <si>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</si>
  <si>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</si>
  <si>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</si>
  <si>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</si>
  <si>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</si>
  <si>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</si>
  <si>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</si>
  <si>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</si>
  <si>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</si>
  <si>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</si>
  <si>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</si>
  <si>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</si>
  <si>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</si>
  <si>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</si>
  <si>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</si>
  <si>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</si>
  <si>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</si>
  <si>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</si>
  <si>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</si>
  <si>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</si>
  <si>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</si>
  <si>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</si>
  <si>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</si>
  <si>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</si>
  <si>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</si>
  <si>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</si>
  <si>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</si>
  <si>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</si>
  <si>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</si>
  <si>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</si>
  <si>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</si>
  <si>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</si>
  <si>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</si>
  <si>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</si>
  <si>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</si>
  <si>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</si>
  <si>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</si>
  <si>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</si>
  <si>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</si>
  <si>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</si>
  <si>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</si>
  <si>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</si>
  <si>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</si>
  <si>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</si>
  <si>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</si>
  <si>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</si>
  <si>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</si>
  <si>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</si>
  <si>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</si>
  <si>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</si>
  <si>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</si>
  <si>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</si>
  <si>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</si>
  <si>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</si>
  <si>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</si>
  <si>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</si>
  <si>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</si>
  <si>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</si>
  <si>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</si>
  <si>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</si>
  <si>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</si>
  <si>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</si>
  <si>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</si>
  <si>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</si>
  <si>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</si>
  <si>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</si>
  <si>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</si>
  <si>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</si>
  <si>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</si>
  <si>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</si>
  <si>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</si>
  <si>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</si>
  <si>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</si>
  <si>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</si>
  <si>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</si>
  <si>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</si>
  <si>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</si>
  <si>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</si>
  <si>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</si>
  <si>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</si>
  <si>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</si>
  <si>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</si>
  <si>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</si>
  <si>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</si>
  <si>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</si>
  <si>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</si>
  <si>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</si>
  <si>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</si>
  <si>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</si>
  <si>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</si>
  <si>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</si>
  <si>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</si>
  <si>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</si>
  <si>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</si>
  <si>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</si>
  <si>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</si>
  <si>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</si>
  <si>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</si>
  <si>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</si>
  <si>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</si>
  <si>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</si>
  <si>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</si>
  <si>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</si>
  <si>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</si>
  <si>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</si>
  <si>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</si>
  <si>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</si>
  <si>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</si>
  <si>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</si>
  <si>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</si>
  <si>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</si>
  <si>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</si>
  <si>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</si>
  <si>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</si>
  <si>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</si>
  <si>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</si>
  <si>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</si>
  <si>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</si>
  <si>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</si>
  <si>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</si>
  <si>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</si>
  <si>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</si>
  <si>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</si>
  <si>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</si>
  <si>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</si>
  <si>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</si>
  <si>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</si>
  <si>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</si>
  <si>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</si>
  <si>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</si>
  <si>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</si>
  <si>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</si>
  <si>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</si>
  <si>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</si>
  <si>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</si>
  <si>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</si>
  <si>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</si>
  <si>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</si>
  <si>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</si>
  <si>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</si>
  <si>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</si>
  <si>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</si>
  <si>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</si>
  <si>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</si>
  <si>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</si>
  <si>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</si>
  <si>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</si>
  <si>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</si>
  <si>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</si>
  <si>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</si>
  <si>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</si>
  <si>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</si>
  <si>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</si>
  <si>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</si>
  <si>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</si>
  <si>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</si>
  <si>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</si>
  <si>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</si>
  <si>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</si>
  <si>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</si>
  <si>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</si>
  <si>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</si>
  <si>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</si>
  <si>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</si>
  <si>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</si>
  <si>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</si>
  <si>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</si>
  <si>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</si>
  <si>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</si>
  <si>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</si>
  <si>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</si>
  <si>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</si>
  <si>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</si>
  <si>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</si>
  <si>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</si>
  <si>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</si>
  <si>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</si>
  <si>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</si>
  <si>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</si>
  <si>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</si>
  <si>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</si>
  <si>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</si>
  <si>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</si>
  <si>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</si>
  <si>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</si>
  <si>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</si>
  <si>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</si>
  <si>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</si>
  <si>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</si>
  <si>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</si>
  <si>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</si>
  <si>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</si>
  <si>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</si>
  <si>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</si>
  <si>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</si>
  <si>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</si>
  <si>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</si>
  <si>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</si>
  <si>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</si>
  <si>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</si>
  <si>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</si>
  <si>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</si>
  <si>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</si>
  <si>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</si>
  <si>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</si>
  <si>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</si>
  <si>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</si>
  <si>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</si>
  <si>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</si>
  <si>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</si>
  <si>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</si>
  <si>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</si>
  <si>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</si>
  <si>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</si>
  <si>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</si>
  <si>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</si>
  <si>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</si>
  <si>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</si>
  <si>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</si>
  <si>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</si>
  <si>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</si>
  <si>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</si>
  <si>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</si>
  <si>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</si>
  <si>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</si>
  <si>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</si>
  <si>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</si>
  <si>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</si>
  <si>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</si>
  <si>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</si>
  <si>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</si>
  <si>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</si>
  <si>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</si>
  <si>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</si>
  <si>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</si>
  <si>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</si>
  <si>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</si>
  <si>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</si>
  <si>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</si>
  <si>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</si>
  <si>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</si>
  <si>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</si>
  <si>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</si>
  <si>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</si>
  <si>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</si>
  <si>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</si>
  <si>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</si>
  <si>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</si>
  <si>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</si>
  <si>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</si>
  <si>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</si>
  <si>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</si>
  <si>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</si>
  <si>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</si>
  <si>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</si>
  <si>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</si>
  <si>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</si>
  <si>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</si>
  <si>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</si>
  <si>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</si>
  <si>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</si>
  <si>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</si>
  <si>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</si>
  <si>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</si>
  <si>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</si>
  <si>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</si>
  <si>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</si>
  <si>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</si>
  <si>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</si>
  <si>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</si>
  <si>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</si>
  <si>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</si>
  <si>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</si>
  <si>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</si>
  <si>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</si>
  <si>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</si>
  <si>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</si>
  <si>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</si>
  <si>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</si>
  <si>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</si>
  <si>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</si>
  <si>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</si>
  <si>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</si>
  <si>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</si>
  <si>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</si>
  <si>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</si>
  <si>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</si>
  <si>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</si>
  <si>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</si>
  <si>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</si>
  <si>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</si>
  <si>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</si>
  <si>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</si>
  <si>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</si>
  <si>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</si>
  <si>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</si>
  <si>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</si>
  <si>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</si>
  <si>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</si>
  <si>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</si>
  <si>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</si>
  <si>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</si>
  <si>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</si>
  <si>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</si>
  <si>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</si>
  <si>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</si>
  <si>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</si>
  <si>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</si>
  <si>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</si>
  <si>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</si>
  <si>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</si>
  <si>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</si>
  <si>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</si>
  <si>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</si>
  <si>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</si>
  <si>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</si>
  <si>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</si>
  <si>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</si>
  <si>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</si>
  <si>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</si>
  <si>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</si>
  <si>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</si>
  <si>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</si>
  <si>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</si>
  <si>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</si>
  <si>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</si>
  <si>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</si>
  <si>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</si>
  <si>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</si>
  <si>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</si>
  <si>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</si>
  <si>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</si>
  <si>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</si>
  <si>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</si>
  <si>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</si>
  <si>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</si>
  <si>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</si>
  <si>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</si>
  <si>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</si>
  <si>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</si>
  <si>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</si>
  <si>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</si>
  <si>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</si>
  <si>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</si>
  <si>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</si>
  <si>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</si>
  <si>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</si>
  <si>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</si>
  <si>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</si>
  <si>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</si>
  <si>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</si>
  <si>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</si>
  <si>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</si>
  <si>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</si>
  <si>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</si>
  <si>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</si>
  <si>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</si>
  <si>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</si>
  <si>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</si>
  <si>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</si>
  <si>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</si>
  <si>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</si>
  <si>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</si>
  <si>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</si>
  <si>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</si>
  <si>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</si>
  <si>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</si>
  <si>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</si>
  <si>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</si>
  <si>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</si>
  <si>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</si>
  <si>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</si>
  <si>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</si>
  <si>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</si>
  <si>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</si>
  <si>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</si>
  <si>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</si>
  <si>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</si>
  <si>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</si>
  <si>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</si>
  <si>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</si>
  <si>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</si>
  <si>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</si>
  <si>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</si>
  <si>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</si>
  <si>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</si>
  <si>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</si>
  <si>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</si>
  <si>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</si>
  <si>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</si>
  <si>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</si>
  <si>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</si>
  <si>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</si>
  <si>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</si>
  <si>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</si>
  <si>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</si>
  <si>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</si>
  <si>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</si>
  <si>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</si>
  <si>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</si>
  <si>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</si>
  <si>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</si>
  <si>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</si>
  <si>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</si>
  <si>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</si>
  <si>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</si>
  <si>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</si>
  <si>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</si>
  <si>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</si>
  <si>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</si>
  <si>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</si>
  <si>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</si>
  <si>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</si>
  <si>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</si>
  <si>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</si>
  <si>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</si>
  <si>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</si>
  <si>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</si>
  <si>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</si>
  <si>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</si>
  <si>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</si>
  <si>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</si>
  <si>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</si>
  <si>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</si>
  <si>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</si>
  <si>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</si>
  <si>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</si>
  <si>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</si>
  <si>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</si>
  <si>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</si>
  <si>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</si>
  <si>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</si>
  <si>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</si>
  <si>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</si>
  <si>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</si>
  <si>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</si>
  <si>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</si>
  <si>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</si>
  <si>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</si>
  <si>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</si>
  <si>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</si>
  <si>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</si>
  <si>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</si>
  <si>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</si>
  <si>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</si>
  <si>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</si>
  <si>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</si>
  <si>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</si>
  <si>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</si>
  <si>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</si>
  <si>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</si>
  <si>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</si>
  <si>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</si>
  <si>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</si>
  <si>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</si>
  <si>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</si>
  <si>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</si>
  <si>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</si>
  <si>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</si>
  <si>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</si>
  <si>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</si>
  <si>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</si>
  <si>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</si>
  <si>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</si>
  <si>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</si>
  <si>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</si>
  <si>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</si>
  <si>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</si>
  <si>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</si>
  <si>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</si>
  <si>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</si>
  <si>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</si>
  <si>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</si>
  <si>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</si>
  <si>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</si>
  <si>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</si>
  <si>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</si>
  <si>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</si>
  <si>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</si>
  <si>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</si>
  <si>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</si>
  <si>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</si>
  <si>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</si>
  <si>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</si>
  <si>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</si>
  <si>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</si>
  <si>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</si>
  <si>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</si>
  <si>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</si>
  <si>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</si>
  <si>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</si>
  <si>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</si>
  <si>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</si>
  <si>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</si>
  <si>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</si>
  <si>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</si>
  <si>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</si>
  <si>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</si>
  <si>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</si>
  <si>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</si>
  <si>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</si>
  <si>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</si>
  <si>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</si>
  <si>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</si>
  <si>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</si>
  <si>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</si>
  <si>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</si>
  <si>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</si>
  <si>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</si>
  <si>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</si>
  <si>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</si>
  <si>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</si>
  <si>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</si>
  <si>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</si>
  <si>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</si>
  <si>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</si>
  <si>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</si>
  <si>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</si>
  <si>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</si>
  <si>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</si>
  <si>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</si>
  <si>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</si>
  <si>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</si>
  <si>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</si>
  <si>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</si>
  <si>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</si>
  <si>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</si>
  <si>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</si>
  <si>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</si>
  <si>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</si>
  <si>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</si>
  <si>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</si>
  <si>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</si>
  <si>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</si>
  <si>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</si>
  <si>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</si>
  <si>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</si>
  <si>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</si>
  <si>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</si>
  <si>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</si>
  <si>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</si>
  <si>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</si>
  <si>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</si>
  <si>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</si>
  <si>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</si>
  <si>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</si>
  <si>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</si>
  <si>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</si>
  <si>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</si>
  <si>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</si>
  <si>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</si>
  <si>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</si>
  <si>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</si>
  <si>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</si>
  <si>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</si>
  <si>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</si>
  <si>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</si>
  <si>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</si>
  <si>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</si>
  <si>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</si>
  <si>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</si>
  <si>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</si>
  <si>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</si>
  <si>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</si>
  <si>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</si>
  <si>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</si>
  <si>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</si>
  <si>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</si>
  <si>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</si>
  <si>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</si>
  <si>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</si>
  <si>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</si>
  <si>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</si>
  <si>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</si>
  <si>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</si>
  <si>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</si>
  <si>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</si>
  <si>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</si>
  <si>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</si>
  <si>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</si>
  <si>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</si>
  <si>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</si>
  <si>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</si>
  <si>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</si>
  <si>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</si>
  <si>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</si>
  <si>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</si>
  <si>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</si>
  <si>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</si>
  <si>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</si>
  <si>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</si>
  <si>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</si>
  <si>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</si>
  <si>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</si>
  <si>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</si>
  <si>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</si>
  <si>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</si>
  <si>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</si>
  <si>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</si>
  <si>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</si>
  <si>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</si>
  <si>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</si>
  <si>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</si>
  <si>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</si>
  <si>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</si>
  <si>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</si>
  <si>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</si>
  <si>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</si>
  <si>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</si>
  <si>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</si>
  <si>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</si>
  <si>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</si>
  <si>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</si>
  <si>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</si>
  <si>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</si>
  <si>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</si>
  <si>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</si>
  <si>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</si>
  <si>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</si>
  <si>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</si>
  <si>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</si>
  <si>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</si>
  <si>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</si>
  <si>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</si>
  <si>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</si>
  <si>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</si>
  <si>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</si>
  <si>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</si>
  <si>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</si>
  <si>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</si>
  <si>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</si>
  <si>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</si>
  <si>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</si>
  <si>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</si>
  <si>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</si>
  <si>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</si>
  <si>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</si>
  <si>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</si>
  <si>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</si>
  <si>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</si>
  <si>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</si>
  <si>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</si>
  <si>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</si>
  <si>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</si>
  <si>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</si>
  <si>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</si>
  <si>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</si>
  <si>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</si>
  <si>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</si>
  <si>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</si>
  <si>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</si>
  <si>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</si>
  <si>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</si>
  <si>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</si>
  <si>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</si>
  <si>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</si>
  <si>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</si>
  <si>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</si>
  <si>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</si>
  <si>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</si>
  <si>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</si>
  <si>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</si>
  <si>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</si>
  <si>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</si>
  <si>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</si>
  <si>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</si>
  <si>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</si>
  <si>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</si>
  <si>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</si>
  <si>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</si>
  <si>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</si>
  <si>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</si>
  <si>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</si>
  <si>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</si>
  <si>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</si>
  <si>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</si>
  <si>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</si>
  <si>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</si>
  <si>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</si>
  <si>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</si>
  <si>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</si>
  <si>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</si>
  <si>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</si>
  <si>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</si>
  <si>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</si>
  <si>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</si>
  <si>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</si>
  <si>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</si>
  <si>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</si>
  <si>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</si>
  <si>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</si>
  <si>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</si>
  <si>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</si>
  <si>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</si>
  <si>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</si>
  <si>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</si>
  <si>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</si>
  <si>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</si>
  <si>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</si>
  <si>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</si>
  <si>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</si>
  <si>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</si>
  <si>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</si>
  <si>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</si>
  <si>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</si>
  <si>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</si>
  <si>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</si>
  <si>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</si>
  <si>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</si>
  <si>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</si>
  <si>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</si>
  <si>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</si>
  <si>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</si>
  <si>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</si>
  <si>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</si>
  <si>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</si>
  <si>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</si>
  <si>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</si>
  <si>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</si>
  <si>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</si>
  <si>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</si>
  <si>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</si>
  <si>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</si>
  <si>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</si>
  <si>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</si>
  <si>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</si>
  <si>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</si>
  <si>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</si>
  <si>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</si>
  <si>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</si>
  <si>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</si>
  <si>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</si>
  <si>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</si>
  <si>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</si>
  <si>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</si>
  <si>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</si>
  <si>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</si>
  <si>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</si>
  <si>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</si>
  <si>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</si>
  <si>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</si>
  <si>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</si>
  <si>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</si>
  <si>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</si>
  <si>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</si>
  <si>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</si>
  <si>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</si>
  <si>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</si>
  <si>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</si>
  <si>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</si>
  <si>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</si>
  <si>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</si>
  <si>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</si>
  <si>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</si>
  <si>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</si>
  <si>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</si>
  <si>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</si>
  <si>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</si>
  <si>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</si>
  <si>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</si>
  <si>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</si>
  <si>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</si>
  <si>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</si>
  <si>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</si>
  <si>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</si>
  <si>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</si>
  <si>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</si>
  <si>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</si>
  <si>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</si>
  <si>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</si>
  <si>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</si>
  <si>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</si>
  <si>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</si>
  <si>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</si>
  <si>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</si>
  <si>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</si>
  <si>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</si>
  <si>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</si>
  <si>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</si>
  <si>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</si>
  <si>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</si>
  <si>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</si>
  <si>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</si>
  <si>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</si>
  <si>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</si>
  <si>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</si>
  <si>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</si>
  <si>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</si>
  <si>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</si>
  <si>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</si>
  <si>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</si>
  <si>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</si>
  <si>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</si>
  <si>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</si>
  <si>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</si>
  <si>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</si>
  <si>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</si>
  <si>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</si>
  <si>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</si>
  <si>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</si>
  <si>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</si>
  <si>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</si>
  <si>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</si>
  <si>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</si>
  <si>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</si>
  <si>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</si>
  <si>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</si>
  <si>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</si>
  <si>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</si>
  <si>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</si>
  <si>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</si>
  <si>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</si>
  <si>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</si>
  <si>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</si>
  <si>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</si>
  <si>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</si>
  <si>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</si>
  <si>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</si>
  <si>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</si>
  <si>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</si>
  <si>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</si>
  <si>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</si>
  <si>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</si>
  <si>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</si>
  <si>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</si>
  <si>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</si>
  <si>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</si>
  <si>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</si>
  <si>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</si>
  <si>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</si>
  <si>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</si>
  <si>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</si>
  <si>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</si>
  <si>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</si>
  <si>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</si>
  <si>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</si>
  <si>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</si>
  <si>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</si>
  <si>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</si>
  <si>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</si>
  <si>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</si>
  <si>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</si>
  <si>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</si>
  <si>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</si>
  <si>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</si>
  <si>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</si>
  <si>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</si>
  <si>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</si>
  <si>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</si>
  <si>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</si>
  <si>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</si>
  <si>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</si>
  <si>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</si>
  <si>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</si>
  <si>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</si>
  <si>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</si>
  <si>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</si>
  <si>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</si>
  <si>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</si>
  <si>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</si>
  <si>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</si>
  <si>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</si>
  <si>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</si>
  <si>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</si>
  <si>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</si>
  <si>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</si>
  <si>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</si>
  <si>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</si>
  <si>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</si>
  <si>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</si>
  <si>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</si>
  <si>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</si>
  <si>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</si>
  <si>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</si>
  <si>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</si>
  <si>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</si>
  <si>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</si>
  <si>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</si>
  <si>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</si>
  <si>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</si>
  <si>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</si>
  <si>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</si>
  <si>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</si>
  <si>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</si>
  <si>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</si>
  <si>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</si>
  <si>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</si>
  <si>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</si>
  <si>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</si>
  <si>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</si>
  <si>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</si>
  <si>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</si>
  <si>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</si>
  <si>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</si>
  <si>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</si>
  <si>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</si>
  <si>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</si>
  <si>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</si>
  <si>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</si>
  <si>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</si>
  <si>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</si>
  <si>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</si>
  <si>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</si>
  <si>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</si>
  <si>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</si>
  <si>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</si>
  <si>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</si>
  <si>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</si>
  <si>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</si>
  <si>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</si>
  <si>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</si>
  <si>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</si>
  <si>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</si>
  <si>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</si>
  <si>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</si>
  <si>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</si>
  <si>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</si>
  <si>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</si>
  <si>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</si>
  <si>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</si>
  <si>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</si>
  <si>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</si>
  <si>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</si>
  <si>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</si>
  <si>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</si>
  <si>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</si>
  <si>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</si>
  <si>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</si>
  <si>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</si>
  <si>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</si>
  <si>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</si>
  <si>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</si>
  <si>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</si>
  <si>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</si>
  <si>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</si>
  <si>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</si>
  <si>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</si>
  <si>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</si>
  <si>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</si>
  <si>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</si>
  <si>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</si>
  <si>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</si>
  <si>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</si>
  <si>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</si>
  <si>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</si>
  <si>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</si>
  <si>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</si>
  <si>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</si>
  <si>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</si>
  <si>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</si>
  <si>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</si>
  <si>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</si>
  <si>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</si>
  <si>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</si>
  <si>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</si>
  <si>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</si>
  <si>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</si>
  <si>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</si>
  <si>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</si>
  <si>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</si>
  <si>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</si>
  <si>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</si>
  <si>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</si>
  <si>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</si>
  <si>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</si>
  <si>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</si>
  <si>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</si>
  <si>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</si>
  <si>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</si>
  <si>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</si>
  <si>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</si>
  <si>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</si>
  <si>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</si>
  <si>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</si>
  <si>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</si>
  <si>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</si>
  <si>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</si>
  <si>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</si>
  <si>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</si>
  <si>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</si>
  <si>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</si>
  <si>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</si>
  <si>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</si>
  <si>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</si>
  <si>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</si>
  <si>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</si>
  <si>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</si>
  <si>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</si>
  <si>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</si>
  <si>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</si>
  <si>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</si>
  <si>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</si>
  <si>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</si>
  <si>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</si>
  <si>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</si>
  <si>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</si>
  <si>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</si>
  <si>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</si>
  <si>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</si>
  <si>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</si>
  <si>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</si>
  <si>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</si>
  <si>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</si>
  <si>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</si>
  <si>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</si>
  <si>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</si>
  <si>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</si>
  <si>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</si>
  <si>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</si>
  <si>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</si>
  <si>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</si>
  <si>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</si>
  <si>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</si>
  <si>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</si>
  <si>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</si>
  <si>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</si>
  <si>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</si>
  <si>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</si>
  <si>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</si>
  <si>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</si>
  <si>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</si>
  <si>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</si>
  <si>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</si>
  <si>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</si>
  <si>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</si>
  <si>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</si>
  <si>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</si>
  <si>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</si>
  <si>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</si>
  <si>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</si>
  <si>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</si>
  <si>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</si>
  <si>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</si>
  <si>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</si>
  <si>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</si>
  <si>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</si>
  <si>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</si>
  <si>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</si>
  <si>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</si>
  <si>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</si>
  <si>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</si>
  <si>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</si>
  <si>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</si>
  <si>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</si>
  <si>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</si>
  <si>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</si>
  <si>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</si>
  <si>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</si>
  <si>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</si>
  <si>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</si>
  <si>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</si>
  <si>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</si>
  <si>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</si>
  <si>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</si>
  <si>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</si>
  <si>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</si>
  <si>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</si>
  <si>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</si>
  <si>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</si>
  <si>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</si>
  <si>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</si>
  <si>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</si>
  <si>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</si>
  <si>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</si>
  <si>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</si>
  <si>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</si>
  <si>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</si>
  <si>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</si>
  <si>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</si>
  <si>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</si>
  <si>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</si>
  <si>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</si>
  <si>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</si>
  <si>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</si>
  <si>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</si>
  <si>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</si>
  <si>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</si>
  <si>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</si>
  <si>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</si>
  <si>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</si>
  <si>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</si>
  <si>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</si>
  <si>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</si>
  <si>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</si>
  <si>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</si>
  <si>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</si>
  <si>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</si>
  <si>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</si>
  <si>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</si>
  <si>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</si>
  <si>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</si>
  <si>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</si>
  <si>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</si>
  <si>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</si>
  <si>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</si>
  <si>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</si>
  <si>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</si>
  <si>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</si>
  <si>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</si>
  <si>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</si>
  <si>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</si>
  <si>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</si>
  <si>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</si>
  <si>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</si>
  <si>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</si>
  <si>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</si>
  <si>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</si>
  <si>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</si>
  <si>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</si>
  <si>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</si>
  <si>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</si>
  <si>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</si>
  <si>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</si>
  <si>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</si>
  <si>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</si>
  <si>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</si>
  <si>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</si>
  <si>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</si>
  <si>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</si>
  <si>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</si>
  <si>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</si>
  <si>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</si>
  <si>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</si>
  <si>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</si>
  <si>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</si>
  <si>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</si>
  <si>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</si>
  <si>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</si>
  <si>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</si>
  <si>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</si>
  <si>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</si>
  <si>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</si>
  <si>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</si>
  <si>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</si>
  <si>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</si>
  <si>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</si>
  <si>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</si>
  <si>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</si>
  <si>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</si>
  <si>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</si>
  <si>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</si>
  <si>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</si>
  <si>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</si>
  <si>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</si>
  <si>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</si>
  <si>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</si>
  <si>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</si>
  <si>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</si>
  <si>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</si>
  <si>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</si>
  <si>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</si>
  <si>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</si>
  <si>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</si>
  <si>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</si>
  <si>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</si>
  <si>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</si>
  <si>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</si>
  <si>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</si>
  <si>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</si>
  <si>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</si>
  <si>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</si>
  <si>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</si>
  <si>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</si>
  <si>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</si>
  <si>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</si>
  <si>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</si>
  <si>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</si>
  <si>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</si>
  <si>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</si>
  <si>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</si>
  <si>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</si>
  <si>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</si>
  <si>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</si>
  <si>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</si>
  <si>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</si>
  <si>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</si>
  <si>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</si>
  <si>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</si>
  <si>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</si>
  <si>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</si>
  <si>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</si>
  <si>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</si>
  <si>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</si>
  <si>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</si>
  <si>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</si>
  <si>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</si>
  <si>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</si>
  <si>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</si>
  <si>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</si>
  <si>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</si>
  <si>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</si>
  <si>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</si>
  <si>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</si>
  <si>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</si>
  <si>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</si>
  <si>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</si>
  <si>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</si>
  <si>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</si>
  <si>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</si>
  <si>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</si>
  <si>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</si>
  <si>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</si>
  <si>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</si>
  <si>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</si>
  <si>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</si>
  <si>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</si>
  <si>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</si>
  <si>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</si>
  <si>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</si>
  <si>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</si>
  <si>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</si>
  <si>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</si>
  <si>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</si>
  <si>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</si>
  <si>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</si>
  <si>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</si>
  <si>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</si>
  <si>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</si>
  <si>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</si>
  <si>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</si>
  <si>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</si>
  <si>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</si>
  <si>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</si>
  <si>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</si>
  <si>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</si>
  <si>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</si>
  <si>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</si>
  <si>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</si>
  <si>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</si>
  <si>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</si>
  <si>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</si>
  <si>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</si>
  <si>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</si>
  <si>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</si>
  <si>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</si>
  <si>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</si>
  <si>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</si>
  <si>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</si>
  <si>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</si>
  <si>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</si>
  <si>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</si>
  <si>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</si>
  <si>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</si>
  <si>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</si>
  <si>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</si>
  <si>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</si>
  <si>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</si>
  <si>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</si>
  <si>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</si>
  <si>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</si>
  <si>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</si>
  <si>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</si>
  <si>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</si>
  <si>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</si>
  <si>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</si>
  <si>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</si>
  <si>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</si>
  <si>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</si>
  <si>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</si>
  <si>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</si>
  <si>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</si>
  <si>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</si>
  <si>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</si>
  <si>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</si>
  <si>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</si>
  <si>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</si>
  <si>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</si>
  <si>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</si>
  <si>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</si>
  <si>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</si>
  <si>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</si>
  <si>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</si>
  <si>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</si>
  <si>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</si>
  <si>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</si>
  <si>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</si>
  <si>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</si>
  <si>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</si>
  <si>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</si>
  <si>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</si>
  <si>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</si>
  <si>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</si>
  <si>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</si>
  <si>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</si>
  <si>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</si>
  <si>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</si>
  <si>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</si>
  <si>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</si>
  <si>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</si>
  <si>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</si>
  <si>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</si>
  <si>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</si>
  <si>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</si>
  <si>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</si>
  <si>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</si>
  <si>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</si>
  <si>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</si>
  <si>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</si>
  <si>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</si>
  <si>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</si>
  <si>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</si>
  <si>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</si>
  <si>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</si>
  <si>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</si>
  <si>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</si>
  <si>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</si>
  <si>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</si>
  <si>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</si>
  <si>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</si>
  <si>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</si>
  <si>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</si>
  <si>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</si>
  <si>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</si>
  <si>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</si>
  <si>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</si>
  <si>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</si>
  <si>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</si>
  <si>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</si>
  <si>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</si>
  <si>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</si>
  <si>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</si>
  <si>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</si>
  <si>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</si>
  <si>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</si>
  <si>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</si>
  <si>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</si>
  <si>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</si>
  <si>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</si>
  <si>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</si>
  <si>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</si>
  <si>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</si>
  <si>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</si>
  <si>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</si>
  <si>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</si>
  <si>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</si>
  <si>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</si>
  <si>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</si>
  <si>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</si>
  <si>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</si>
  <si>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</si>
  <si>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</si>
  <si>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</si>
  <si>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</si>
  <si>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</si>
  <si>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</si>
  <si>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</si>
  <si>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</si>
  <si>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</si>
  <si>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</si>
  <si>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</si>
  <si>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</si>
  <si>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</si>
  <si>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</si>
  <si>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</si>
  <si>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</si>
  <si>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</si>
  <si>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</si>
  <si>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</si>
  <si>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</si>
  <si>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</si>
  <si>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</si>
  <si>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</si>
  <si>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</si>
  <si>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</si>
  <si>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</si>
  <si>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</si>
  <si>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</si>
  <si>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</si>
  <si>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</si>
  <si>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</si>
  <si>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</si>
  <si>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</si>
  <si>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</si>
  <si>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</si>
  <si>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</si>
  <si>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</si>
  <si>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</si>
  <si>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</si>
  <si>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</si>
  <si>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</si>
  <si>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</si>
  <si>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</si>
  <si>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</si>
  <si>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</si>
  <si>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</si>
  <si>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</si>
  <si>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</si>
  <si>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</si>
  <si>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</si>
  <si>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</si>
  <si>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</si>
  <si>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</si>
  <si>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</si>
  <si>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</si>
  <si>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</si>
  <si>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</si>
  <si>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</si>
  <si>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</si>
  <si>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</si>
  <si>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</si>
  <si>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</si>
  <si>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</si>
  <si>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</si>
  <si>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</si>
  <si>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</si>
  <si>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</si>
  <si>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</si>
  <si>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</si>
  <si>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</si>
  <si>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</si>
  <si>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</si>
  <si>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</si>
  <si>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</si>
  <si>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</si>
  <si>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</si>
  <si>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</si>
  <si>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</si>
  <si>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</si>
  <si>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</si>
  <si>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</si>
  <si>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</si>
  <si>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</si>
  <si>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</si>
  <si>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</si>
  <si>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</si>
  <si>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</si>
  <si>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</si>
  <si>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</si>
  <si>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</si>
  <si>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</si>
  <si>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</si>
  <si>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</si>
  <si>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</si>
  <si>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</si>
  <si>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</si>
  <si>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</si>
  <si>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</si>
  <si>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</si>
  <si>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</si>
  <si>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</si>
  <si>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</si>
  <si>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</si>
  <si>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</si>
  <si>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</si>
  <si>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</si>
  <si>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</si>
  <si>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</si>
  <si>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</si>
  <si>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</si>
  <si>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</si>
  <si>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</si>
  <si>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</si>
  <si>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</si>
  <si>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</si>
  <si>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</si>
  <si>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</si>
  <si>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</si>
  <si>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</si>
  <si>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</si>
  <si>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</si>
  <si>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</si>
  <si>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</si>
  <si>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</si>
  <si>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</si>
  <si>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</si>
  <si>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</si>
  <si>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</si>
  <si>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</si>
  <si>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</si>
  <si>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</si>
  <si>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</si>
  <si>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</si>
  <si>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</si>
  <si>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</si>
  <si>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</si>
  <si>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</si>
  <si>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</si>
  <si>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</si>
  <si>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</si>
  <si>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</si>
  <si>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</si>
  <si>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</si>
  <si>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</si>
  <si>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</si>
  <si>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</si>
  <si>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</si>
  <si>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</si>
  <si>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</si>
  <si>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</si>
  <si>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</si>
  <si>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</si>
  <si>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</si>
  <si>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</si>
  <si>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</si>
  <si>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</si>
  <si>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</si>
  <si>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</si>
  <si>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</si>
  <si>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</si>
  <si>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</si>
  <si>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</si>
  <si>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</si>
  <si>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</si>
  <si>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</si>
  <si>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</si>
  <si>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</si>
  <si>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</si>
  <si>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</si>
  <si>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</si>
  <si>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</si>
  <si>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</si>
  <si>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</si>
  <si>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</si>
  <si>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</si>
  <si>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</si>
  <si>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</si>
  <si>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</si>
  <si>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</si>
  <si>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</si>
  <si>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</si>
  <si>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</si>
  <si>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</si>
  <si>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</si>
  <si>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</si>
  <si>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</si>
  <si>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</si>
  <si>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</si>
  <si>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</si>
  <si>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</si>
  <si>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</si>
  <si>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</si>
  <si>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</si>
  <si>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</si>
  <si>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</si>
  <si>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</si>
  <si>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</si>
  <si>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</si>
  <si>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</si>
  <si>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</si>
  <si>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</si>
  <si>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</si>
  <si>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</si>
  <si>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</si>
  <si>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</si>
  <si>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</si>
  <si>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</si>
  <si>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</si>
  <si>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</si>
  <si>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</si>
  <si>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</si>
  <si>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</si>
  <si>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</si>
  <si>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</si>
  <si>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</si>
  <si>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</si>
  <si>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</si>
  <si>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</si>
  <si>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</si>
  <si>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</si>
  <si>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</si>
  <si>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</si>
  <si>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</si>
  <si>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</si>
  <si>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</si>
  <si>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</si>
  <si>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</si>
  <si>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</si>
  <si>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</si>
  <si>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</si>
  <si>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</si>
  <si>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</si>
  <si>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</si>
  <si>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</si>
  <si>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</si>
  <si>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</si>
  <si>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</si>
  <si>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</si>
  <si>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</si>
  <si>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</si>
  <si>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</si>
  <si>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</si>
  <si>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</si>
  <si>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</si>
  <si>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</si>
  <si>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</si>
  <si>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</si>
  <si>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</si>
  <si>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</si>
  <si>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</si>
  <si>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</si>
  <si>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</si>
  <si>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</si>
  <si>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</si>
  <si>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</si>
  <si>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</si>
  <si>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</si>
  <si>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</si>
  <si>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</si>
  <si>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</si>
  <si>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</si>
  <si>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</si>
  <si>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</si>
  <si>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</si>
  <si>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</si>
  <si>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</si>
  <si>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</si>
  <si>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</si>
  <si>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</si>
  <si>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</si>
  <si>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</si>
  <si>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</si>
  <si>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</si>
  <si>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</si>
  <si>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</si>
  <si>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</si>
  <si>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</si>
  <si>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</si>
  <si>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</si>
  <si>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</si>
  <si>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</si>
  <si>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</si>
  <si>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</si>
  <si>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</si>
  <si>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</si>
  <si>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</si>
  <si>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</si>
  <si>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</si>
  <si>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</si>
  <si>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</si>
  <si>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</si>
  <si>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</si>
  <si>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</si>
  <si>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</si>
  <si>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</si>
  <si>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</si>
  <si>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</si>
  <si>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</si>
  <si>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</si>
  <si>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</si>
  <si>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</si>
  <si>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</si>
  <si>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</si>
  <si>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</si>
  <si>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</si>
  <si>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</si>
  <si>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</si>
  <si>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</si>
  <si>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</si>
  <si>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</si>
  <si>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</si>
  <si>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</si>
  <si>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</si>
  <si>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</si>
  <si>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</si>
  <si>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</si>
  <si>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</si>
  <si>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</si>
  <si>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</si>
  <si>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</si>
  <si>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</si>
  <si>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</si>
  <si>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</si>
  <si>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</si>
  <si>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</si>
  <si>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</si>
  <si>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</si>
  <si>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</si>
  <si>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</si>
  <si>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</si>
  <si>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</si>
  <si>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</si>
  <si>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</si>
  <si>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</si>
  <si>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</si>
  <si>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</si>
  <si>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</si>
  <si>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</si>
  <si>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</si>
  <si>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</si>
  <si>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</si>
  <si>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</si>
  <si>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</si>
  <si>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</si>
  <si>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</si>
  <si>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</si>
  <si>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</si>
  <si>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</si>
  <si>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</si>
  <si>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</si>
  <si>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</si>
  <si>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</si>
  <si>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</si>
  <si>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</si>
  <si>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</si>
  <si>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</si>
  <si>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</si>
  <si>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</si>
  <si>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</si>
  <si>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</si>
  <si>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</si>
  <si>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</si>
  <si>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</si>
  <si>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</si>
  <si>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</si>
  <si>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</si>
  <si>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</si>
  <si>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</si>
  <si>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</si>
  <si>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</si>
  <si>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</si>
  <si>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</si>
  <si>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</si>
  <si>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</si>
  <si>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</si>
  <si>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</si>
  <si>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</si>
  <si>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</si>
  <si>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</si>
  <si>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</si>
  <si>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</si>
  <si>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</si>
  <si>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</si>
  <si>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</si>
  <si>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</si>
  <si>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</si>
  <si>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</si>
  <si>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</si>
  <si>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</si>
  <si>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</si>
  <si>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</si>
  <si>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</si>
  <si>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</si>
  <si>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</si>
  <si>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</si>
  <si>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</si>
  <si>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</si>
  <si>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</si>
  <si>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</si>
  <si>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</si>
  <si>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</si>
  <si>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</si>
  <si>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</si>
  <si>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</si>
  <si>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</si>
  <si>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</si>
  <si>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</si>
  <si>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</si>
  <si>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</si>
  <si>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</si>
  <si>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</si>
  <si>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</si>
  <si>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</si>
  <si>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</si>
  <si>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</si>
  <si>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</si>
  <si>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</si>
  <si>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</si>
  <si>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</si>
  <si>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</si>
  <si>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</si>
  <si>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</si>
  <si>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</si>
  <si>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</si>
  <si>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</si>
  <si>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</si>
  <si>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</si>
  <si>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</si>
  <si>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</si>
  <si>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</si>
  <si>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</si>
  <si>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</si>
  <si>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</si>
  <si>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</si>
  <si>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</si>
  <si>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</si>
  <si>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</si>
  <si>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</si>
  <si>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</si>
  <si>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</si>
  <si>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</si>
  <si>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</si>
  <si>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</si>
  <si>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</si>
  <si>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</si>
  <si>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</si>
  <si>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</si>
  <si>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</si>
  <si>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</si>
  <si>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</si>
  <si>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</si>
  <si>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</si>
  <si>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</si>
  <si>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</si>
  <si>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</si>
  <si>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</si>
  <si>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</si>
  <si>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</si>
  <si>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</si>
  <si>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</si>
  <si>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</si>
  <si>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</si>
  <si>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</si>
  <si>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</si>
  <si>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</si>
  <si>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</si>
  <si>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</si>
  <si>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</si>
  <si>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</si>
  <si>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</si>
  <si>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</si>
  <si>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</si>
  <si>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</si>
  <si>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</si>
  <si>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</si>
  <si>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</si>
  <si>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</si>
  <si>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</si>
  <si>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</si>
  <si>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</si>
  <si>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</si>
  <si>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</si>
  <si>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</si>
  <si>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</si>
  <si>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</si>
  <si>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</si>
  <si>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</si>
  <si>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</si>
  <si>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</si>
  <si>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</si>
  <si>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</si>
  <si>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</si>
  <si>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</si>
  <si>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</si>
  <si>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</si>
  <si>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</si>
  <si>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</si>
  <si>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</si>
  <si>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</si>
  <si>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</si>
  <si>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</si>
  <si>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</si>
  <si>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</si>
  <si>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</si>
  <si>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</si>
  <si>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</si>
  <si>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</si>
  <si>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</si>
  <si>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</si>
  <si>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</si>
  <si>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</si>
  <si>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</si>
  <si>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</si>
  <si>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</si>
  <si>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</si>
  <si>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</si>
  <si>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</si>
  <si>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</si>
  <si>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</si>
  <si>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</si>
  <si>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</si>
  <si>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</si>
  <si>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</si>
  <si>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</si>
  <si>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</si>
  <si>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</si>
  <si>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</si>
  <si>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</si>
  <si>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</si>
  <si>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</si>
  <si>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</si>
  <si>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</si>
  <si>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</si>
  <si>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</si>
  <si>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</si>
  <si>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</si>
  <si>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</si>
  <si>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</si>
  <si>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</si>
  <si>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</si>
  <si>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</si>
  <si>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</si>
  <si>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</si>
  <si>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</si>
  <si>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</si>
  <si>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</si>
  <si>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</si>
  <si>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</si>
  <si>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</si>
  <si>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</si>
  <si>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</si>
  <si>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</si>
  <si>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</si>
  <si>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</si>
  <si>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</si>
  <si>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</si>
  <si>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</si>
  <si>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</si>
  <si>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</si>
  <si>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</si>
  <si>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</si>
  <si>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</si>
  <si>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</si>
  <si>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</si>
  <si>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</si>
  <si>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</si>
  <si>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</si>
  <si>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</si>
  <si>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</si>
  <si>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</si>
  <si>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</si>
  <si>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</si>
  <si>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</si>
  <si>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</si>
  <si>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</si>
  <si>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</si>
  <si>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</si>
  <si>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</si>
  <si>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</si>
  <si>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</si>
  <si>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</si>
  <si>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</si>
  <si>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</si>
  <si>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</si>
  <si>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</si>
  <si>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</si>
  <si>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</si>
  <si>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</si>
  <si>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</si>
  <si>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</si>
  <si>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</si>
  <si>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</si>
  <si>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</si>
  <si>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</si>
  <si>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</si>
  <si>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</si>
  <si>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</si>
  <si>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</si>
  <si>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</si>
  <si>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</si>
  <si>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</si>
  <si>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</si>
  <si>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</si>
  <si>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</si>
  <si>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</si>
  <si>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</si>
  <si>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</si>
  <si>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</si>
  <si>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</si>
  <si>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</si>
  <si>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</si>
  <si>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</si>
  <si>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</si>
  <si>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</si>
  <si>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</si>
  <si>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</si>
  <si>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</si>
  <si>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</si>
  <si>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</si>
  <si>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</si>
  <si>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</si>
  <si>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</si>
  <si>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</si>
  <si>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</si>
  <si>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</si>
  <si>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</si>
  <si>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</si>
  <si>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</si>
  <si>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</si>
  <si>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</si>
  <si>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</si>
  <si>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</si>
  <si>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</si>
  <si>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</si>
  <si>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</si>
  <si>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</si>
  <si>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</si>
  <si>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</si>
  <si>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</si>
  <si>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</si>
  <si>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</si>
  <si>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</si>
  <si>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</si>
  <si>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</si>
  <si>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</si>
  <si>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</si>
  <si>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</si>
  <si>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</si>
  <si>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</si>
  <si>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</si>
  <si>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</si>
  <si>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</si>
  <si>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</si>
  <si>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</si>
  <si>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</si>
  <si>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</si>
  <si>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</si>
  <si>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</si>
  <si>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</si>
  <si>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</si>
  <si>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</si>
  <si>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</si>
  <si>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</si>
  <si>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</si>
  <si>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</si>
  <si>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</si>
  <si>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</si>
  <si>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</si>
  <si>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</si>
  <si>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</si>
  <si>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</si>
  <si>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</si>
  <si>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</si>
  <si>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</si>
  <si>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</si>
  <si>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</si>
  <si>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</si>
  <si>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</si>
  <si>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</si>
  <si>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</si>
  <si>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</si>
  <si>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</si>
  <si>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</si>
  <si>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</si>
  <si>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</si>
  <si>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</si>
  <si>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</si>
  <si>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</si>
  <si>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</si>
  <si>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</si>
  <si>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</si>
  <si>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</si>
  <si>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</si>
  <si>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</si>
  <si>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</si>
  <si>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</si>
  <si>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</si>
  <si>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</si>
  <si>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</si>
  <si>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</si>
  <si>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</si>
  <si>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</si>
  <si>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</si>
  <si>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</si>
  <si>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</si>
  <si>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</si>
  <si>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</si>
  <si>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</si>
  <si>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</si>
  <si>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</si>
  <si>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</si>
  <si>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</si>
  <si>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</si>
  <si>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</si>
  <si>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</si>
  <si>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</si>
  <si>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</si>
  <si>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</si>
  <si>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</si>
  <si>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</si>
  <si>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</si>
  <si>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</si>
  <si>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</si>
  <si>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</si>
  <si>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</si>
  <si>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</si>
  <si>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</si>
  <si>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</si>
  <si>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</si>
  <si>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</si>
  <si>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</si>
  <si>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</si>
  <si>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</si>
  <si>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</si>
  <si>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</si>
  <si>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</si>
  <si>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</si>
  <si>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</si>
  <si>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</si>
  <si>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</si>
  <si>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</si>
  <si>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</si>
  <si>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</si>
  <si>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</si>
  <si>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</si>
  <si>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</si>
  <si>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</si>
  <si>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</si>
  <si>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</si>
  <si>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</si>
  <si>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</si>
  <si>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</si>
  <si>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</si>
  <si>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</si>
  <si>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</si>
  <si>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</si>
  <si>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</si>
  <si>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</si>
  <si>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</si>
  <si>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</si>
  <si>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</si>
  <si>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</si>
  <si>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</si>
  <si>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</si>
  <si>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</si>
  <si>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</si>
  <si>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</si>
  <si>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</si>
  <si>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</si>
  <si>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</si>
  <si>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</si>
  <si>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</si>
  <si>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</si>
  <si>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</si>
  <si>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</si>
  <si>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</si>
  <si>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</si>
  <si>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</si>
  <si>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</si>
  <si>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</si>
  <si>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</si>
  <si>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</si>
  <si>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</si>
  <si>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</si>
  <si>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</si>
  <si>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</si>
  <si>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</si>
  <si>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</si>
  <si>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</si>
  <si>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</si>
  <si>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</si>
  <si>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</si>
  <si>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</si>
  <si>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</si>
  <si>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</si>
  <si>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</si>
  <si>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</si>
  <si>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</si>
  <si>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</si>
  <si>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</si>
  <si>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</si>
  <si>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</si>
  <si>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</si>
  <si>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</si>
  <si>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</si>
  <si>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</si>
  <si>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</si>
  <si>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</si>
  <si>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</si>
  <si>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</si>
  <si>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</si>
  <si>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</si>
  <si>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</si>
  <si>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</si>
  <si>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</si>
  <si>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</si>
  <si>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</si>
  <si>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</si>
  <si>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</si>
  <si>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</si>
  <si>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</si>
  <si>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</si>
  <si>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</si>
  <si>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</si>
  <si>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</si>
  <si>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</si>
  <si>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</si>
  <si>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</si>
  <si>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</si>
  <si>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</si>
  <si>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</si>
  <si>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</si>
  <si>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</si>
  <si>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</si>
  <si>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</si>
  <si>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</si>
  <si>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</si>
  <si>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</si>
  <si>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</si>
  <si>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</si>
  <si>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</si>
  <si>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</si>
  <si>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</si>
  <si>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</si>
  <si>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</si>
  <si>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</si>
  <si>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</si>
  <si>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</si>
  <si>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</si>
  <si>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</si>
  <si>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</si>
  <si>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</si>
  <si>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</si>
  <si>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</si>
  <si>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</si>
  <si>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</si>
  <si>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</si>
  <si>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</si>
  <si>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</si>
  <si>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</si>
  <si>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</si>
  <si>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</si>
  <si>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</si>
  <si>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</si>
  <si>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</si>
  <si>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</si>
  <si>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</si>
  <si>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</si>
  <si>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</si>
  <si>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</si>
  <si>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</si>
  <si>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</si>
  <si>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</si>
  <si>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</si>
  <si>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</si>
  <si>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</si>
  <si>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</si>
  <si>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</si>
  <si>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</si>
  <si>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</si>
  <si>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</si>
  <si>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</si>
  <si>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</si>
  <si>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</si>
  <si>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</si>
  <si>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</si>
  <si>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</si>
  <si>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</si>
  <si>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</si>
  <si>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</si>
  <si>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</si>
  <si>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</si>
  <si>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</si>
  <si>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</si>
  <si>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</si>
  <si>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</si>
  <si>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</si>
  <si>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</si>
  <si>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</si>
  <si>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</si>
  <si>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</si>
  <si>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</si>
  <si>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</si>
  <si>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</si>
  <si>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</si>
  <si>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</si>
  <si>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</si>
  <si>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</si>
  <si>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</si>
  <si>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</si>
  <si>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</si>
  <si>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</si>
  <si>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</si>
  <si>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</si>
  <si>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</si>
  <si>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</si>
  <si>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</si>
  <si>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</si>
  <si>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</si>
  <si>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</si>
  <si>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</si>
  <si>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</si>
  <si>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</si>
  <si>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</si>
  <si>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</si>
  <si>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</si>
  <si>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</si>
  <si>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</si>
  <si>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</si>
  <si>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</si>
  <si>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</si>
  <si>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</si>
  <si>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</si>
  <si>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</si>
  <si>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</si>
  <si>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</si>
  <si>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</si>
  <si>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</si>
  <si>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</si>
  <si>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</si>
  <si>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</si>
  <si>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</si>
  <si>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</si>
  <si>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</si>
  <si>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</si>
  <si>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</si>
  <si>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</si>
  <si>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</si>
  <si>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</si>
  <si>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</si>
  <si>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</si>
  <si>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</si>
  <si>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</si>
  <si>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</si>
  <si>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</si>
  <si>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</si>
  <si>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</si>
  <si>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</si>
  <si>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</si>
  <si>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</si>
  <si>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</si>
  <si>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</si>
  <si>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</si>
  <si>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</si>
  <si>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</si>
  <si>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</si>
  <si>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</si>
  <si>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</si>
  <si>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</si>
  <si>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</si>
  <si>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</si>
  <si>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</si>
  <si>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</si>
  <si>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</si>
  <si>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</si>
  <si>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</si>
  <si>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</si>
  <si>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</si>
  <si>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</si>
  <si>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</si>
  <si>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</si>
  <si>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</si>
  <si>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</si>
  <si>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</si>
  <si>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</si>
  <si>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</si>
  <si>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</si>
  <si>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</si>
  <si>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</si>
  <si>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</si>
  <si>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</si>
  <si>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</si>
  <si>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</si>
  <si>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</si>
  <si>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</si>
  <si>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</si>
  <si>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</si>
  <si>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</si>
  <si>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</si>
  <si>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</si>
  <si>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</si>
  <si>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</si>
  <si>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</si>
  <si>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</si>
  <si>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</si>
  <si>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</si>
  <si>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</si>
  <si>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</si>
  <si>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</si>
  <si>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</si>
  <si>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</si>
  <si>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</si>
  <si>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</si>
  <si>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</si>
  <si>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</si>
  <si>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</si>
  <si>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</si>
  <si>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</si>
  <si>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</si>
  <si>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</si>
  <si>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</si>
  <si>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</si>
  <si>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</si>
  <si>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</si>
  <si>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</si>
  <si>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</si>
  <si>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</si>
  <si>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</si>
  <si>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</si>
  <si>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</si>
  <si>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</si>
  <si>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</si>
  <si>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</si>
  <si>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</si>
  <si>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</si>
  <si>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</si>
  <si>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</si>
  <si>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</si>
  <si>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</si>
  <si>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</si>
  <si>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</si>
  <si>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</si>
  <si>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</si>
  <si>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</si>
  <si>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</si>
  <si>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</si>
  <si>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</si>
  <si>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</si>
  <si>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</si>
  <si>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</si>
  <si>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</si>
  <si>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</si>
  <si>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</si>
  <si>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</si>
  <si>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</si>
  <si>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</si>
  <si>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</si>
  <si>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</si>
  <si>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</si>
  <si>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</si>
  <si>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</si>
  <si>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</si>
  <si>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</si>
  <si>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</si>
  <si>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</si>
  <si>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</si>
  <si>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</si>
  <si>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</si>
  <si>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</si>
  <si>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</si>
  <si>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</si>
  <si>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</si>
  <si>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</si>
  <si>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</si>
  <si>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</si>
  <si>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</si>
  <si>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</si>
  <si>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</si>
  <si>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</si>
  <si>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</si>
  <si>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</si>
  <si>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</si>
  <si>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</si>
  <si>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</si>
  <si>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</si>
  <si>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</si>
  <si>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</si>
  <si>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</si>
  <si>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</si>
  <si>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</si>
  <si>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</si>
  <si>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</si>
  <si>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</si>
  <si>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</si>
  <si>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</si>
  <si>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</si>
  <si>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</si>
  <si>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</si>
  <si>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</si>
  <si>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</si>
  <si>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</si>
  <si>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</si>
  <si>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</si>
  <si>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</si>
  <si>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</si>
  <si>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</si>
  <si>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</si>
  <si>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</si>
  <si>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</si>
  <si>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</si>
  <si>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</si>
  <si>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</si>
  <si>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</si>
  <si>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</si>
  <si>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</si>
  <si>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</si>
  <si>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</si>
  <si>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</si>
  <si>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</si>
  <si>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</si>
  <si>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</si>
  <si>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</si>
  <si>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</si>
  <si>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</si>
  <si>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</si>
  <si>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</si>
  <si>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</si>
  <si>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</si>
  <si>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</si>
  <si>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</si>
  <si>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</si>
  <si>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</si>
  <si>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</si>
  <si>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</si>
  <si>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</si>
  <si>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</si>
  <si>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</si>
  <si>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</si>
  <si>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</si>
  <si>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</si>
  <si>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</si>
  <si>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</si>
  <si>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</si>
  <si>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</si>
  <si>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</si>
  <si>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</si>
  <si>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</si>
  <si>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</si>
  <si>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</si>
  <si>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</si>
  <si>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</si>
  <si>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</si>
  <si>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</si>
  <si>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</si>
  <si>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</si>
  <si>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</si>
  <si>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</si>
  <si>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</si>
  <si>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</si>
  <si>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</si>
  <si>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</si>
  <si>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</si>
  <si>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</si>
  <si>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</si>
  <si>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</si>
  <si>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</si>
  <si>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</si>
  <si>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</si>
  <si>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</si>
  <si>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</si>
  <si>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</si>
  <si>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</si>
  <si>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</si>
  <si>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</si>
  <si>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</si>
  <si>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</si>
  <si>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</si>
  <si>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</si>
  <si>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</si>
  <si>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</si>
  <si>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</si>
  <si>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</si>
  <si>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</si>
  <si>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</si>
  <si>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</si>
  <si>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</si>
  <si>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</si>
  <si>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</si>
  <si>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</si>
  <si>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</si>
  <si>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</si>
  <si>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</si>
  <si>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</si>
  <si>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</si>
  <si>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</si>
  <si>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</si>
  <si>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</si>
  <si>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</si>
  <si>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</si>
  <si>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</si>
  <si>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</si>
  <si>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</si>
  <si>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</si>
  <si>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</si>
  <si>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</si>
  <si>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</si>
  <si>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</si>
  <si>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</si>
  <si>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</si>
  <si>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</si>
  <si>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</si>
  <si>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</si>
  <si>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</si>
  <si>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</si>
  <si>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</si>
  <si>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</si>
  <si>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</si>
  <si>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</si>
  <si>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</si>
  <si>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</si>
  <si>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</si>
  <si>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</si>
  <si>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</si>
  <si>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</si>
  <si>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</si>
  <si>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</si>
  <si>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</si>
  <si>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</si>
  <si>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</si>
  <si>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</si>
  <si>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</si>
  <si>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</si>
  <si>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</si>
  <si>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</si>
  <si>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</si>
  <si>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</si>
  <si>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</si>
  <si>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</si>
  <si>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</si>
  <si>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</si>
  <si>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</si>
  <si>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</si>
  <si>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</si>
  <si>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</si>
  <si>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</si>
  <si>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</si>
  <si>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</si>
  <si>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</si>
  <si>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</si>
  <si>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</si>
  <si>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</si>
  <si>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</si>
  <si>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</si>
  <si>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</si>
  <si>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</si>
  <si>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</si>
  <si>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</si>
  <si>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</si>
  <si>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</si>
  <si>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</si>
  <si>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</si>
  <si>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</si>
  <si>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</si>
  <si>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</si>
  <si>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</si>
  <si>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</si>
  <si>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</si>
  <si>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</si>
  <si>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</si>
  <si>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</si>
  <si>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</si>
  <si>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</si>
  <si>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</si>
  <si>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</si>
  <si>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</si>
  <si>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</si>
  <si>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</si>
  <si>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</si>
  <si>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</si>
  <si>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</si>
  <si>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</si>
  <si>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</si>
  <si>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</si>
  <si>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</si>
  <si>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</si>
  <si>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</si>
  <si>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</si>
  <si>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</si>
  <si>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</si>
  <si>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</si>
  <si>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</si>
  <si>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</si>
  <si>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</si>
  <si>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</si>
  <si>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</si>
  <si>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</si>
  <si>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</si>
  <si>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</si>
  <si>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</si>
  <si>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</si>
  <si>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</si>
  <si>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</si>
  <si>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</si>
  <si>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</si>
  <si>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</si>
  <si>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</si>
  <si>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</si>
  <si>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</si>
  <si>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</si>
  <si>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</si>
  <si>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</si>
  <si>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</si>
  <si>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</si>
  <si>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</si>
  <si>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</si>
  <si>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</si>
  <si>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</si>
  <si>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</si>
  <si>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</si>
  <si>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</si>
  <si>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</si>
  <si>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</si>
  <si>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</si>
  <si>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</si>
  <si>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</si>
  <si>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</si>
  <si>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</si>
  <si>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</si>
  <si>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</si>
  <si>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</si>
  <si>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</si>
  <si>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</si>
  <si>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</si>
  <si>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</si>
  <si>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</si>
  <si>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</si>
  <si>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</si>
  <si>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</si>
  <si>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</si>
  <si>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</si>
  <si>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</si>
  <si>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</si>
  <si>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</si>
  <si>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</si>
  <si>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</si>
  <si>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</si>
  <si>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</si>
  <si>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</si>
  <si>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</si>
  <si>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</si>
  <si>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</si>
  <si>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</si>
  <si>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</si>
  <si>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</si>
  <si>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</si>
  <si>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</si>
  <si>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</si>
  <si>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</si>
  <si>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</si>
  <si>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</si>
  <si>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</si>
  <si>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</si>
  <si>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</si>
  <si>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</si>
  <si>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</si>
  <si>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</si>
  <si>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</si>
  <si>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</si>
  <si>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</si>
  <si>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</si>
  <si>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</si>
  <si>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</si>
  <si>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</si>
  <si>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</si>
  <si>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</si>
  <si>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</si>
  <si>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</si>
  <si>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</si>
  <si>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</si>
  <si>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</si>
  <si>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</si>
  <si>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</si>
  <si>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</si>
  <si>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</si>
  <si>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</si>
  <si>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</si>
  <si>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</si>
  <si>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</si>
  <si>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</si>
  <si>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</si>
  <si>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</si>
  <si>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</si>
  <si>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</si>
  <si>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</si>
  <si>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</si>
  <si>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</si>
  <si>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</si>
  <si>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</si>
  <si>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</si>
  <si>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</si>
  <si>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</si>
  <si>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</si>
  <si>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</si>
  <si>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</si>
  <si>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</si>
  <si>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</si>
  <si>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</si>
  <si>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</si>
  <si>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</si>
  <si>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</si>
  <si>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</si>
  <si>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</si>
  <si>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</si>
  <si>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</si>
  <si>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</si>
  <si>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</si>
  <si>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</si>
  <si>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</si>
  <si>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</si>
  <si>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</si>
  <si>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</si>
  <si>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</si>
  <si>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</si>
  <si>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</si>
  <si>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</si>
  <si>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</si>
  <si>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</si>
  <si>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</si>
  <si>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</si>
  <si>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</si>
  <si>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</si>
  <si>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</si>
  <si>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</si>
  <si>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</si>
  <si>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</si>
  <si>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</si>
  <si>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</si>
  <si>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</si>
  <si>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</si>
  <si>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</si>
  <si>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</si>
  <si>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</si>
  <si>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</si>
  <si>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</si>
  <si>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</si>
  <si>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</si>
  <si>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</si>
  <si>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</si>
  <si>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</si>
  <si>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</si>
  <si>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</si>
  <si>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</si>
  <si>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</si>
  <si>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</si>
  <si>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</si>
  <si>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</si>
  <si>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</si>
  <si>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</si>
  <si>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</si>
  <si>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</si>
  <si>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</si>
  <si>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</si>
  <si>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</si>
  <si>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</si>
  <si>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</si>
  <si>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</si>
  <si>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</si>
  <si>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</si>
  <si>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</si>
  <si>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</si>
  <si>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</si>
  <si>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</si>
  <si>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</si>
  <si>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</si>
  <si>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</si>
  <si>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</si>
  <si>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</si>
  <si>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</si>
  <si>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</si>
  <si>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</si>
  <si>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</si>
  <si>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</si>
  <si>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</si>
  <si>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</si>
  <si>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</si>
  <si>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</si>
  <si>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</si>
  <si>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</si>
  <si>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</si>
  <si>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</si>
  <si>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</si>
  <si>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</si>
  <si>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</si>
  <si>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</si>
  <si>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</si>
  <si>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</si>
  <si>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</si>
  <si>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</si>
  <si>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</si>
  <si>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</si>
  <si>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</si>
  <si>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</si>
  <si>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</si>
  <si>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</si>
  <si>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</si>
  <si>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</si>
  <si>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</si>
  <si>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</si>
  <si>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</si>
  <si>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</si>
  <si>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</si>
  <si>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</si>
  <si>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</si>
  <si>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</si>
  <si>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</si>
  <si>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</si>
  <si>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</si>
  <si>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</si>
  <si>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</si>
  <si>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</si>
  <si>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</si>
  <si>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</si>
  <si>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</si>
  <si>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</si>
  <si>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</si>
  <si>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</si>
  <si>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</si>
  <si>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</si>
  <si>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</si>
  <si>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</si>
  <si>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</si>
  <si>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</si>
  <si>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</si>
  <si>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</si>
  <si>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</si>
  <si>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</si>
  <si>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</si>
  <si>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</si>
  <si>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</si>
  <si>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</si>
  <si>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</si>
  <si>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</si>
  <si>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</si>
  <si>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</si>
  <si>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</si>
  <si>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</si>
  <si>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</si>
  <si>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</si>
  <si>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</si>
  <si>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</si>
  <si>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</si>
  <si>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</si>
  <si>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</si>
  <si>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</si>
  <si>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</si>
  <si>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</si>
  <si>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</si>
  <si>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</si>
  <si>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</si>
  <si>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</si>
  <si>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</si>
  <si>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</si>
  <si>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</si>
  <si>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</si>
  <si>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</si>
  <si>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</si>
  <si>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</si>
  <si>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</si>
  <si>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</si>
  <si>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</si>
  <si>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</si>
  <si>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</si>
  <si>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</si>
  <si>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</si>
  <si>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</si>
  <si>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</si>
  <si>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</si>
  <si>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</si>
  <si>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</si>
  <si>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</si>
  <si>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</si>
  <si>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</si>
  <si>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</si>
  <si>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</si>
  <si>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</si>
  <si>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</si>
  <si>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</si>
  <si>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</si>
  <si>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</si>
  <si>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</si>
  <si>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</si>
  <si>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</si>
  <si>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</si>
  <si>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</si>
  <si>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</si>
  <si>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</si>
  <si>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</si>
  <si>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</si>
  <si>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</si>
  <si>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</si>
  <si>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</si>
  <si>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</si>
  <si>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</si>
  <si>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</si>
  <si>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</si>
  <si>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</si>
  <si>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</si>
  <si>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</si>
  <si>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</si>
  <si>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</si>
  <si>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</si>
  <si>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</si>
  <si>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</si>
  <si>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</si>
  <si>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</si>
  <si>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</si>
  <si>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</si>
  <si>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</si>
  <si>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</si>
  <si>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</si>
  <si>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</si>
  <si>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</si>
  <si>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</si>
  <si>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</si>
  <si>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</si>
  <si>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</si>
  <si>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</si>
  <si>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</si>
  <si>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</si>
  <si>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</si>
  <si>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</si>
  <si>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</si>
  <si>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</si>
  <si>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</si>
  <si>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</si>
  <si>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</si>
  <si>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</si>
  <si>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</si>
  <si>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</si>
  <si>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</si>
  <si>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</si>
  <si>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</si>
  <si>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</si>
  <si>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</si>
  <si>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</si>
  <si>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</si>
  <si>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</si>
  <si>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</si>
  <si>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</si>
  <si>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</si>
  <si>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</si>
  <si>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</si>
  <si>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</si>
  <si>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</si>
  <si>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</si>
  <si>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</si>
  <si>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</si>
  <si>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</si>
  <si>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</si>
  <si>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</si>
  <si>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</si>
  <si>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</si>
  <si>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</si>
  <si>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</si>
  <si>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</si>
  <si>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</si>
  <si>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</si>
  <si>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</si>
  <si>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</si>
  <si>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</si>
  <si>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</si>
  <si>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</si>
  <si>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</si>
  <si>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</si>
  <si>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</si>
  <si>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</si>
  <si>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</si>
  <si>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</si>
  <si>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</si>
  <si>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</si>
  <si>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</si>
  <si>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</si>
  <si>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</si>
  <si>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</si>
  <si>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</si>
  <si>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</si>
  <si>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</si>
  <si>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</si>
  <si>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</si>
  <si>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</si>
  <si>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</si>
  <si>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</si>
  <si>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</si>
  <si>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</si>
  <si>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</si>
  <si>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</si>
  <si>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</si>
  <si>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</si>
  <si>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</si>
  <si>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</si>
  <si>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</si>
  <si>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</si>
  <si>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</si>
  <si>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</si>
  <si>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</si>
  <si>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</si>
  <si>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</si>
  <si>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</si>
  <si>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</si>
  <si>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</si>
  <si>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</si>
  <si>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</si>
  <si>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</si>
  <si>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</si>
  <si>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</si>
  <si>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</si>
  <si>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</si>
  <si>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</si>
  <si>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</si>
  <si>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</si>
  <si>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</si>
  <si>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</si>
  <si>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</si>
  <si>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</si>
  <si>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</si>
  <si>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</si>
  <si>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</si>
  <si>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</si>
  <si>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</si>
  <si>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</si>
  <si>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</si>
  <si>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</si>
  <si>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</si>
  <si>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</si>
  <si>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</si>
  <si>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</si>
  <si>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</si>
  <si>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</si>
  <si>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</si>
  <si>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</si>
  <si>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</si>
  <si>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</si>
  <si>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</si>
  <si>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</si>
  <si>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</si>
  <si>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</si>
  <si>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</si>
  <si>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</si>
  <si>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</si>
  <si>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</si>
  <si>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</si>
  <si>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</si>
  <si>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</si>
  <si>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</si>
  <si>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</si>
  <si>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</si>
  <si>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</si>
  <si>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</si>
  <si>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</si>
  <si>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</si>
  <si>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</si>
  <si>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</si>
  <si>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</si>
  <si>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</si>
  <si>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</si>
  <si>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</si>
  <si>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</si>
  <si>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</si>
  <si>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</si>
  <si>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</si>
  <si>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</si>
  <si>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</si>
  <si>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</si>
  <si>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</si>
  <si>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</si>
  <si>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</si>
  <si>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</si>
  <si>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</si>
  <si>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</si>
  <si>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</si>
  <si>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</si>
  <si>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</si>
  <si>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</si>
  <si>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</si>
  <si>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</si>
  <si>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</si>
  <si>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</si>
  <si>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</si>
  <si>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</si>
  <si>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</si>
  <si>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</si>
  <si>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</si>
  <si>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</si>
  <si>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</si>
  <si>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</si>
  <si>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</si>
  <si>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</si>
  <si>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</si>
  <si>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</si>
  <si>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</si>
  <si>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</si>
  <si>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</si>
  <si>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</si>
  <si>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</si>
  <si>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</si>
  <si>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</si>
  <si>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</si>
  <si>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</si>
  <si>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</si>
  <si>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</si>
  <si>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</si>
  <si>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</si>
  <si>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</si>
  <si>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</si>
  <si>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</si>
  <si>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</si>
  <si>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</si>
  <si>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</si>
  <si>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</si>
  <si>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</si>
  <si>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</si>
  <si>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</si>
  <si>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</si>
  <si>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</si>
  <si>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</si>
  <si>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</si>
  <si>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</si>
  <si>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</si>
  <si>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</si>
  <si>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</si>
  <si>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</si>
  <si>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</si>
  <si>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</si>
  <si>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</si>
  <si>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</si>
  <si>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</si>
  <si>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</si>
  <si>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</si>
  <si>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</si>
  <si>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</si>
  <si>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</si>
  <si>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</si>
  <si>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</si>
  <si>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</si>
  <si>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</si>
  <si>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</si>
  <si>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</si>
  <si>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</si>
  <si>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</si>
  <si>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</si>
  <si>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</si>
  <si>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</si>
  <si>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</si>
  <si>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</si>
  <si>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</si>
  <si>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</si>
  <si>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</si>
  <si>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</si>
  <si>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</si>
  <si>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</si>
  <si>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</si>
  <si>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</si>
  <si>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</si>
  <si>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</si>
  <si>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</si>
  <si>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</si>
  <si>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</si>
  <si>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</si>
  <si>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</si>
  <si>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</si>
  <si>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</si>
  <si>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</si>
  <si>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</si>
  <si>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</si>
  <si>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</si>
  <si>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</si>
  <si>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</si>
  <si>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</si>
  <si>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</si>
  <si>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</si>
  <si>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</si>
  <si>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</si>
  <si>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</si>
  <si>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</si>
  <si>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</si>
  <si>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</si>
  <si>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</si>
  <si>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</si>
  <si>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</si>
  <si>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</si>
  <si>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</si>
  <si>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</si>
  <si>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</si>
  <si>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</si>
  <si>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</si>
  <si>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</si>
  <si>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</si>
  <si>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</si>
  <si>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</si>
  <si>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</si>
  <si>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</si>
  <si>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</si>
  <si>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</si>
  <si>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</si>
  <si>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</si>
  <si>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</si>
  <si>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</si>
  <si>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</si>
  <si>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</si>
  <si>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</si>
  <si>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</si>
  <si>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</si>
  <si>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</si>
  <si>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</si>
  <si>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</si>
  <si>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</si>
  <si>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</si>
  <si>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</si>
  <si>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</si>
  <si>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</si>
  <si>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</si>
  <si>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</si>
  <si>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</si>
  <si>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</si>
  <si>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</si>
  <si>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</si>
  <si>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</si>
  <si>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</si>
  <si>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</si>
  <si>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</si>
  <si>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</si>
  <si>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</si>
  <si>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</si>
  <si>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</si>
  <si>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</si>
  <si>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</si>
  <si>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</si>
  <si>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</si>
  <si>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</si>
  <si>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</si>
  <si>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</si>
  <si>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</si>
  <si>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</si>
  <si>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</si>
  <si>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</si>
  <si>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</si>
  <si>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</si>
  <si>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</si>
  <si>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</si>
  <si>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</si>
  <si>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</si>
  <si>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</si>
  <si>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</si>
  <si>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</si>
  <si>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</si>
  <si>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</si>
  <si>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</si>
  <si>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</si>
  <si>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</si>
  <si>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</si>
  <si>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</si>
  <si>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</si>
  <si>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</si>
  <si>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</si>
  <si>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</si>
  <si>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</si>
  <si>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</si>
  <si>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</si>
  <si>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</si>
  <si>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</si>
  <si>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</si>
  <si>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</si>
  <si>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</si>
  <si>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</si>
  <si>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</si>
  <si>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</si>
  <si>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</si>
  <si>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</si>
  <si>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</si>
  <si>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</si>
  <si>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</si>
  <si>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</si>
  <si>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</si>
  <si>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</si>
  <si>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</si>
  <si>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</si>
  <si>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</si>
  <si>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</si>
  <si>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</si>
  <si>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</si>
  <si>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</si>
  <si>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</si>
  <si>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</si>
  <si>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</si>
  <si>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</si>
  <si>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</si>
  <si>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</si>
  <si>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</si>
  <si>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</si>
  <si>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</si>
  <si>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</si>
  <si>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</si>
  <si>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</si>
  <si>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</si>
  <si>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</si>
  <si>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</si>
  <si>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</si>
  <si>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</si>
  <si>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</si>
  <si>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</si>
  <si>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</si>
  <si>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</si>
  <si>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</si>
  <si>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</si>
  <si>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</si>
  <si>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</si>
  <si>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</si>
  <si>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</si>
  <si>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</si>
  <si>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</si>
  <si>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</si>
  <si>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</si>
  <si>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</si>
  <si>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</si>
  <si>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</si>
  <si>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</si>
  <si>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</si>
  <si>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</si>
  <si>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</si>
  <si>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</si>
  <si>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</si>
  <si>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</si>
  <si>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</si>
  <si>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</si>
  <si>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</si>
  <si>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</si>
  <si>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</si>
  <si>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</si>
  <si>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</si>
  <si>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</si>
  <si>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</si>
  <si>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</si>
  <si>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</si>
  <si>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</si>
  <si>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</si>
  <si>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</si>
  <si>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</si>
  <si>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</si>
  <si>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</si>
  <si>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</si>
  <si>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</si>
  <si>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</si>
  <si>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</si>
  <si>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</si>
  <si>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</si>
  <si>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</si>
  <si>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</si>
  <si>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</si>
  <si>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</si>
  <si>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</si>
  <si>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</si>
  <si>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</si>
  <si>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</si>
  <si>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</si>
  <si>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</si>
  <si>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</si>
  <si>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</si>
  <si>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</si>
  <si>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</si>
  <si>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</si>
  <si>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</si>
  <si>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</si>
  <si>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</si>
  <si>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</si>
  <si>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</si>
  <si>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</si>
  <si>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</si>
  <si>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</si>
  <si>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</si>
  <si>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</si>
  <si>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</si>
  <si>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</si>
  <si>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</si>
  <si>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</si>
  <si>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</si>
  <si>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</si>
  <si>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</si>
  <si>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</si>
  <si>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</si>
  <si>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</si>
  <si>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</si>
  <si>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</si>
  <si>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</si>
  <si>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</si>
  <si>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</si>
  <si>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</si>
  <si>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</si>
  <si>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</si>
  <si>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</si>
  <si>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</si>
  <si>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</si>
  <si>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</si>
  <si>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</si>
  <si>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</si>
  <si>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</si>
  <si>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</si>
  <si>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</si>
  <si>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</si>
  <si>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</si>
  <si>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</si>
  <si>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</si>
  <si>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</si>
  <si>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</si>
  <si>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</si>
  <si>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</si>
  <si>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</si>
  <si>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</si>
  <si>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</si>
  <si>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</si>
  <si>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</si>
  <si>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</si>
  <si>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</si>
  <si>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</si>
  <si>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</si>
  <si>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</si>
  <si>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</si>
  <si>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</si>
  <si>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</si>
  <si>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</si>
  <si>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</si>
  <si>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</si>
  <si>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</si>
  <si>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</si>
  <si>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</si>
  <si>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</si>
  <si>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</si>
  <si>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</si>
  <si>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</si>
  <si>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</si>
  <si>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</si>
  <si>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</si>
  <si>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</si>
  <si>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</si>
  <si>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</si>
  <si>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</si>
  <si>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</si>
  <si>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</si>
  <si>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</si>
  <si>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</si>
  <si>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</si>
  <si>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</si>
  <si>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</si>
  <si>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</si>
  <si>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</si>
  <si>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</si>
  <si>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</si>
  <si>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</si>
  <si>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</si>
  <si>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</si>
  <si>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</si>
  <si>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</si>
  <si>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</si>
  <si>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</si>
  <si>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</si>
  <si>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</si>
  <si>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</si>
  <si>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</si>
  <si>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</si>
  <si>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</si>
  <si>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</si>
  <si>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</si>
  <si>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</si>
  <si>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</si>
  <si>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</si>
  <si>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</si>
  <si>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</si>
  <si>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</si>
  <si>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</si>
  <si>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</si>
  <si>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</si>
  <si>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</si>
  <si>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</si>
  <si>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</si>
  <si>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</si>
  <si>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</si>
  <si>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</si>
  <si>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</si>
  <si>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</si>
  <si>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</si>
  <si>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</si>
  <si>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</si>
  <si>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</si>
  <si>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</si>
  <si>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</si>
  <si>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</si>
  <si>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</si>
  <si>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</si>
  <si>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</si>
  <si>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</si>
  <si>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</si>
  <si>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</si>
  <si>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</si>
  <si>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</si>
  <si>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</si>
  <si>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</si>
  <si>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</si>
  <si>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</si>
  <si>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</si>
  <si>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</si>
  <si>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</si>
  <si>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</si>
  <si>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</si>
  <si>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</si>
  <si>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</si>
  <si>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</si>
  <si>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</si>
  <si>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</si>
  <si>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</si>
  <si>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</si>
  <si>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</si>
  <si>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</si>
  <si>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</si>
  <si>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</si>
  <si>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</si>
  <si>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</si>
  <si>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</si>
  <si>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</si>
  <si>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</si>
  <si>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</si>
  <si>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</si>
  <si>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</si>
  <si>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</si>
  <si>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</si>
  <si>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</si>
  <si>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</si>
  <si>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</si>
  <si>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</si>
  <si>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</si>
  <si>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</si>
  <si>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</si>
  <si>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</si>
  <si>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</si>
  <si>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</si>
  <si>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</si>
  <si>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</si>
  <si>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</si>
  <si>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</si>
  <si>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</si>
  <si>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</si>
  <si>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</si>
  <si>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</si>
  <si>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</si>
  <si>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</si>
  <si>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</si>
  <si>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</si>
  <si>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</si>
  <si>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</si>
  <si>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</si>
  <si>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</si>
  <si>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</si>
  <si>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</si>
  <si>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</si>
  <si>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</si>
  <si>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</si>
  <si>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</si>
  <si>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</si>
  <si>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</si>
  <si>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</si>
  <si>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</si>
  <si>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</si>
  <si>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</si>
  <si>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</si>
  <si>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</si>
  <si>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</si>
  <si>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</si>
  <si>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</si>
  <si>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</si>
  <si>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</si>
  <si>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</si>
  <si>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</si>
  <si>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</si>
  <si>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</si>
  <si>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</si>
  <si>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</si>
  <si>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</si>
  <si>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</si>
  <si>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</si>
  <si>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</si>
  <si>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</si>
  <si>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</si>
  <si>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</si>
  <si>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</si>
  <si>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</si>
  <si>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</si>
  <si>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</si>
  <si>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</si>
  <si>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</si>
  <si>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</si>
  <si>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</si>
  <si>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</si>
  <si>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</si>
  <si>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</si>
  <si>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</si>
  <si>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</si>
  <si>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</si>
  <si>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</si>
  <si>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</si>
  <si>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</si>
  <si>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</si>
  <si>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</si>
  <si>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</si>
  <si>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</si>
  <si>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</si>
  <si>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</si>
  <si>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</si>
  <si>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</si>
  <si>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</si>
  <si>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</si>
  <si>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</si>
  <si>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</si>
  <si>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</si>
  <si>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</si>
  <si>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</si>
  <si>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</si>
  <si>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</si>
  <si>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</si>
  <si>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</si>
  <si>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</si>
  <si>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</si>
  <si>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</si>
  <si>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</si>
  <si>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</si>
  <si>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</si>
  <si>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</si>
  <si>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</si>
  <si>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</si>
  <si>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</si>
  <si>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</si>
  <si>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</si>
  <si>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</si>
  <si>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</si>
  <si>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</si>
  <si>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</si>
  <si>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</si>
  <si>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</si>
  <si>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</si>
  <si>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</si>
  <si>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</si>
  <si>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</si>
  <si>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</si>
  <si>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</si>
  <si>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</si>
  <si>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</si>
  <si>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</si>
  <si>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</si>
  <si>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</si>
  <si>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</si>
  <si>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</si>
  <si>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</si>
  <si>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</si>
  <si>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</si>
  <si>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</si>
  <si>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</si>
  <si>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</si>
  <si>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</si>
  <si>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</si>
  <si>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</si>
  <si>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</si>
  <si>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</si>
  <si>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</si>
  <si>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</si>
  <si>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</si>
  <si>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</si>
  <si>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</si>
  <si>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</si>
  <si>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</si>
  <si>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</si>
  <si>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</si>
  <si>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</si>
  <si>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</si>
  <si>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</si>
  <si>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</si>
  <si>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</si>
  <si>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</si>
  <si>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</si>
  <si>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</si>
  <si>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</si>
  <si>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</si>
  <si>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</si>
  <si>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</si>
  <si>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</si>
  <si>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</si>
  <si>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</si>
  <si>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</si>
  <si>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</si>
  <si>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</si>
  <si>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</si>
  <si>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</si>
  <si>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</si>
  <si>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</si>
  <si>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</si>
  <si>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</si>
  <si>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</si>
  <si>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</si>
  <si>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</si>
  <si>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</si>
  <si>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</si>
  <si>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</si>
  <si>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</si>
  <si>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</si>
  <si>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</si>
  <si>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</si>
  <si>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</si>
  <si>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</si>
  <si>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</si>
  <si>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</si>
  <si>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</si>
  <si>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</si>
  <si>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</si>
  <si>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</si>
  <si>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</si>
  <si>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</si>
  <si>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</si>
  <si>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</si>
  <si>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</si>
  <si>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</si>
  <si>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</si>
  <si>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</si>
  <si>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</si>
  <si>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</si>
  <si>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</si>
  <si>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</si>
  <si>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</si>
  <si>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</si>
  <si>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</si>
  <si>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</si>
  <si>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</si>
  <si>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</si>
  <si>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</si>
  <si>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</si>
  <si>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</si>
  <si>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</si>
  <si>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</si>
  <si>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</si>
  <si>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</si>
  <si>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</si>
  <si>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</si>
  <si>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</si>
  <si>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</si>
  <si>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</si>
  <si>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</si>
  <si>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</si>
  <si>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</si>
  <si>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</si>
  <si>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</si>
  <si>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</si>
  <si>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</si>
  <si>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</si>
  <si>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</si>
  <si>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</si>
  <si>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</si>
  <si>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</si>
  <si>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</si>
  <si>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</si>
  <si>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</si>
  <si>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</si>
  <si>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</si>
  <si>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</si>
  <si>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</si>
  <si>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</si>
  <si>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</si>
  <si>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</si>
  <si>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</si>
  <si>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</si>
  <si>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</si>
  <si>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</si>
  <si>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</si>
  <si>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</si>
  <si>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</si>
  <si>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</si>
  <si>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</si>
  <si>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</si>
  <si>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</si>
  <si>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</si>
  <si>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</si>
  <si>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</si>
  <si>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</si>
  <si>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</si>
  <si>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</si>
  <si>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</si>
  <si>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</si>
  <si>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</si>
  <si>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</si>
  <si>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</si>
  <si>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</si>
  <si>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</si>
  <si>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</si>
  <si>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</si>
  <si>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</si>
  <si>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</si>
  <si>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</si>
  <si>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</si>
  <si>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</si>
  <si>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</si>
  <si>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</si>
  <si>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</si>
  <si>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</si>
  <si>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</si>
  <si>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</si>
  <si>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</si>
  <si>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</si>
  <si>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</si>
  <si>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</si>
  <si>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</si>
  <si>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</si>
  <si>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</si>
  <si>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</si>
  <si>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</si>
  <si>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</si>
  <si>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</si>
  <si>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</si>
  <si>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</si>
  <si>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</si>
  <si>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</si>
  <si>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</si>
  <si>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</si>
  <si>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</si>
  <si>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</si>
  <si>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</si>
  <si>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</si>
  <si>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</si>
  <si>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</si>
  <si>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</si>
  <si>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</si>
  <si>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</si>
  <si>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</si>
  <si>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</si>
  <si>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</si>
  <si>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</si>
  <si>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</si>
  <si>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</si>
  <si>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</si>
  <si>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</si>
  <si>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</si>
  <si>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</si>
  <si>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</si>
  <si>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</si>
  <si>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</si>
  <si>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</si>
  <si>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</si>
  <si>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</si>
  <si>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</si>
  <si>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</si>
  <si>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</si>
  <si>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</si>
  <si>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</si>
  <si>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</si>
  <si>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</si>
  <si>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</si>
  <si>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</si>
  <si>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</si>
  <si>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</si>
  <si>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</si>
  <si>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</si>
  <si>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</si>
  <si>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</si>
  <si>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</si>
  <si>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</si>
  <si>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</si>
  <si>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</si>
  <si>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</si>
  <si>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</si>
  <si>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</si>
  <si>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</si>
  <si>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</si>
  <si>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</si>
  <si>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</si>
  <si>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</si>
  <si>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</si>
  <si>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</si>
  <si>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</si>
  <si>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</si>
  <si>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</si>
  <si>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</si>
  <si>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</si>
  <si>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</si>
  <si>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</si>
  <si>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</si>
  <si>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</si>
  <si>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</si>
  <si>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</si>
  <si>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</si>
  <si>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</si>
  <si>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</si>
  <si>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</si>
  <si>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</si>
  <si>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</si>
  <si>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</si>
  <si>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</si>
  <si>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</si>
  <si>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</si>
  <si>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</si>
  <si>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</si>
  <si>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</si>
  <si>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</si>
  <si>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</si>
  <si>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</si>
  <si>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</si>
  <si>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</si>
  <si>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</si>
  <si>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</si>
  <si>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</si>
  <si>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</si>
  <si>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</si>
  <si>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</si>
  <si>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</si>
  <si>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</si>
  <si>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</si>
  <si>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</si>
  <si>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</si>
  <si>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</si>
  <si>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</si>
  <si>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</si>
  <si>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</si>
  <si>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</si>
  <si>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</si>
  <si>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</si>
  <si>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</si>
  <si>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</si>
  <si>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</si>
  <si>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</si>
  <si>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</si>
  <si>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</si>
  <si>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</si>
  <si>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</si>
  <si>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</si>
  <si>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</si>
  <si>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</si>
  <si>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</si>
  <si>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</si>
  <si>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</si>
  <si>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</si>
  <si>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</si>
  <si>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</si>
  <si>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</si>
  <si>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</si>
  <si>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</si>
  <si>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</si>
  <si>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</si>
  <si>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</si>
  <si>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</si>
  <si>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</si>
  <si>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</si>
  <si>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</si>
  <si>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</si>
  <si>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</si>
  <si>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</si>
  <si>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</si>
  <si>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</si>
  <si>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</si>
  <si>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</si>
  <si>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</si>
  <si>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</si>
  <si>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</si>
  <si>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</si>
  <si>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</si>
  <si>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</si>
  <si>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</si>
  <si>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</si>
  <si>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</si>
  <si>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</si>
  <si>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</si>
  <si>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</si>
  <si>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</si>
  <si>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</si>
  <si>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</si>
  <si>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</si>
  <si>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</si>
  <si>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</si>
  <si>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</si>
  <si>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</si>
  <si>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</si>
  <si>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</si>
  <si>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</si>
  <si>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</si>
  <si>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</si>
  <si>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</si>
  <si>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</si>
  <si>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</si>
  <si>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</si>
  <si>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</si>
  <si>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</si>
  <si>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</si>
  <si>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</si>
  <si>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</si>
  <si>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</si>
  <si>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</si>
  <si>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</si>
  <si>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</si>
  <si>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</si>
  <si>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</si>
  <si>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</si>
  <si>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</si>
  <si>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</si>
  <si>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</si>
  <si>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</si>
  <si>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</si>
  <si>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</si>
  <si>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</si>
  <si>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</si>
  <si>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</si>
  <si>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</si>
  <si>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</si>
  <si>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</si>
  <si>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</si>
  <si>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</si>
  <si>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</si>
  <si>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</si>
  <si>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</si>
  <si>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</si>
  <si>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</si>
  <si>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</si>
  <si>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</si>
  <si>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</si>
  <si>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</si>
  <si>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</si>
  <si>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</si>
  <si>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</si>
  <si>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</si>
  <si>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</si>
  <si>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</si>
  <si>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</si>
  <si>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</si>
  <si>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</si>
  <si>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</si>
  <si>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</si>
  <si>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</si>
  <si>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</si>
  <si>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</si>
  <si>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</si>
  <si>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</si>
  <si>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</si>
  <si>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</si>
  <si>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</si>
  <si>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</si>
  <si>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</si>
  <si>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</si>
  <si>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</si>
  <si>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</si>
  <si>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</si>
  <si>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</si>
  <si>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</si>
  <si>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</si>
  <si>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</si>
  <si>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</si>
  <si>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</si>
  <si>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</si>
  <si>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</si>
  <si>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</si>
  <si>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</si>
  <si>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</si>
  <si>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</si>
  <si>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</si>
  <si>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</si>
  <si>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</si>
  <si>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</si>
  <si>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</si>
  <si>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</si>
  <si>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</si>
  <si>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</si>
  <si>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</si>
  <si>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</si>
  <si>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</si>
  <si>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</si>
  <si>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</si>
  <si>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</si>
  <si>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</si>
  <si>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</si>
  <si>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</si>
  <si>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</si>
  <si>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</si>
  <si>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</si>
  <si>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</si>
  <si>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</si>
  <si>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</si>
  <si>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</si>
  <si>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</si>
  <si>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</si>
  <si>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</si>
  <si>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</si>
  <si>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METRIC</t>
  </si>
  <si>
    <t>VALUE</t>
  </si>
  <si>
    <t>Total Orders</t>
  </si>
  <si>
    <t>Total Revenue</t>
  </si>
  <si>
    <t>Average Order Value</t>
  </si>
  <si>
    <t>Median Order Value</t>
  </si>
  <si>
    <t>Highest Order Value</t>
  </si>
  <si>
    <t>Lowest Order Value</t>
  </si>
  <si>
    <t>Most Common Product</t>
  </si>
  <si>
    <t>Most Common Payment</t>
  </si>
  <si>
    <t>Total Quantity Sold</t>
  </si>
  <si>
    <t>PRODUCT</t>
  </si>
  <si>
    <t>ORDER COUNT</t>
  </si>
  <si>
    <t>TOTAL REVENUE</t>
  </si>
  <si>
    <t>ORDER STATUS</t>
  </si>
  <si>
    <t>COUNT</t>
  </si>
  <si>
    <t>Camcelled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</si>
</sst>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by Product</a:t>
            </a:r>
          </a:p>
          <a:p>
            <a:pPr>
              <a:defRPr/>
            </a:pP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EDA!$E$1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EDA!$D$2:$D$8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Chair</c:v>
                </c:pt>
                <c:pt idx="6">
                  <c:v>Desk</c:v>
                </c:pt>
              </c:strCache>
            </c:strRef>
          </c:cat>
          <c:val>
            <c:numRef>
              <c:f>EDA!$E$2:$E$8</c:f>
              <c:numCache>
                <c:formatCode>General</c:formatCode>
                <c:ptCount val="7"/>
                <c:pt idx="0">
                  <c:v>173</c:v>
                </c:pt>
                <c:pt idx="1">
                  <c:v>156</c:v>
                </c:pt>
                <c:pt idx="2">
                  <c:v>179</c:v>
                </c:pt>
                <c:pt idx="3">
                  <c:v>163</c:v>
                </c:pt>
                <c:pt idx="4">
                  <c:v>181</c:v>
                </c:pt>
                <c:pt idx="5">
                  <c:v>178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4-40AA-A7DB-4A651CA8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248415"/>
        <c:axId val="1654246495"/>
      </c:barChart>
      <c:catAx>
        <c:axId val="165424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46495"/>
        <c:crosses val="autoZero"/>
        <c:auto val="1"/>
        <c:lblAlgn val="ctr"/>
        <c:lblOffset val="100"/>
        <c:noMultiLvlLbl val="0"/>
      </c:catAx>
      <c:valAx>
        <c:axId val="16542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4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EDA!$I$1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EDA!$H$2:$H$6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Camcelled</c:v>
                </c:pt>
                <c:pt idx="4">
                  <c:v>Returned</c:v>
                </c:pt>
              </c:strCache>
            </c:strRef>
          </c:cat>
          <c:val>
            <c:numRef>
              <c:f>EDA!$I$2:$I$6</c:f>
              <c:numCache>
                <c:formatCode>General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F-4598-AD5D-E6C9589501F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323561</xdr:colOff>
      <xdr:row>10</xdr:row>
      <xdr:rowOff>19049</xdr:rowOff>
    </xdr:from>
    <xdr:to>
      <xdr:col>8</xdr:col>
      <xdr:colOff>508000</xdr:colOff>
      <xdr:row>27</xdr:row>
      <xdr:rowOff>46181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6C4ED5-9448-9AAA-7038-DF557B656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231321</xdr:colOff>
      <xdr:row>6</xdr:row>
      <xdr:rowOff>72270</xdr:rowOff>
    </xdr:from>
    <xdr:to>
      <xdr:col>16</xdr:col>
      <xdr:colOff>517071</xdr:colOff>
      <xdr:row>21</xdr:row>
      <xdr:rowOff>94041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1F26DA-E7FF-39DC-E52E-BE9BC9972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pane ySplit="1" topLeftCell="A750" activePane="bottomLeft" state="frozen"/>
      <selection pane="bottomLeft" activeCell="B769" sqref="B769"/>
    </sheetView>
  </sheetViews>
  <sheetFormatPr defaultRowHeight="14.5" x14ac:dyDescent="0.35"/>
  <cols>
    <col min="1" max="1" width="10.54296875" bestFit="1" customWidth="1"/>
    <col min="2" max="2" width="10.08984375" style="3" bestFit="1" customWidth="1"/>
    <col min="3" max="3" width="10.81640625" bestFit="1" customWidth="1"/>
    <col min="6" max="6" width="8.453125" style="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4" max="14" width="8.7265625" style="5"/>
  </cols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dataConsolidate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8034-D074-4971-99A8-EB6FC924AF5D}">
  <dimension ref="A1:I12"/>
  <sheetViews>
    <sheetView tabSelected="1" zoomScale="89" workbookViewId="0">
      <selection activeCell="AE20" sqref="AE20"/>
    </sheetView>
  </sheetViews>
  <sheetFormatPr defaultRowHeight="14.5" x14ac:dyDescent="0.35"/>
  <cols>
    <col min="1" max="1" width="21.1796875" bestFit="1" customWidth="1"/>
    <col min="2" max="2" width="10.81640625" bestFit="1" customWidth="1"/>
    <col min="3" max="3" width="8.7265625" customWidth="1"/>
    <col min="5" max="5" width="13.1796875" bestFit="1" customWidth="1"/>
    <col min="6" max="6" width="18.7265625" bestFit="1" customWidth="1"/>
    <col min="8" max="8" width="13.453125" bestFit="1" customWidth="1"/>
  </cols>
  <sheetData>
    <row r="1" spans="1:9" x14ac:dyDescent="0.35">
      <c r="A1" s="6" t="s">
        <v>4284</v>
      </c>
      <c r="B1" s="6" t="s">
        <v>4285</v>
      </c>
      <c r="D1" s="6" t="s">
        <v>4295</v>
      </c>
      <c r="E1" s="6" t="s">
        <v>4296</v>
      </c>
      <c r="F1" s="6" t="s">
        <v>4297</v>
      </c>
      <c r="H1" s="6" t="s">
        <v>4298</v>
      </c>
      <c r="I1" s="6" t="s">
        <v>4299</v>
      </c>
    </row>
    <row r="2" spans="1:9" x14ac:dyDescent="0.35">
      <c r="A2" t="s">
        <v>4286</v>
      </c>
      <c r="B2">
        <f>COUNTA(Sheet1!A2:A1201)</f>
        <v>1200</v>
      </c>
      <c r="D2" t="s">
        <v>2408</v>
      </c>
      <c r="E2">
        <f>COUNTIF(Sheet1!$D$2:$D$1201,D2)</f>
        <v>173</v>
      </c>
      <c r="F2">
        <f>SUMIF(Sheet1!$D$2:$D$1201,D2,Sheet1!$N$2:$N$1201)</f>
        <v>192126.55999999994</v>
      </c>
      <c r="H2" t="s">
        <v>3073</v>
      </c>
      <c r="I2">
        <f>COUNTIF(Sheet1!$I$2:$I$1201,H2)</f>
        <v>231</v>
      </c>
    </row>
    <row r="3" spans="1:9" x14ac:dyDescent="0.35">
      <c r="A3" t="s">
        <v>4287</v>
      </c>
      <c r="B3" s="5">
        <f>SUM(Sheet1!N2:N1201)</f>
        <v>1264761.9600000004</v>
      </c>
      <c r="D3" t="s">
        <v>2404</v>
      </c>
      <c r="E3">
        <f>COUNTIF(Sheet1!$D$2:$D$1201,D3)</f>
        <v>156</v>
      </c>
      <c r="F3">
        <f>SUMIF(Sheet1!$D$2:$D$1201,D3,Sheet1!$N$2:$N$1201)</f>
        <v>151722.39000000001</v>
      </c>
      <c r="H3" t="s">
        <v>3070</v>
      </c>
      <c r="I3">
        <f>COUNTIF(Sheet1!$I$2:$I$1201,H3)</f>
        <v>235</v>
      </c>
    </row>
    <row r="4" spans="1:9" x14ac:dyDescent="0.35">
      <c r="A4" t="s">
        <v>4288</v>
      </c>
      <c r="B4" s="5">
        <f>AVERAGE(Sheet1!N2:N1201)</f>
        <v>1053.9683000000005</v>
      </c>
      <c r="D4" t="s">
        <v>2405</v>
      </c>
      <c r="E4">
        <f>COUNTIF(Sheet1!$D$2:$D$1201,D4)</f>
        <v>179</v>
      </c>
      <c r="F4">
        <f>SUMIF(Sheet1!$D$2:$D$1201,D4,Sheet1!$N$2:$N$1201)</f>
        <v>186568.95000000007</v>
      </c>
      <c r="H4" t="s">
        <v>3074</v>
      </c>
      <c r="I4">
        <f>COUNTIF(Sheet1!$I$2:$I$1201,H4)</f>
        <v>237</v>
      </c>
    </row>
    <row r="5" spans="1:9" x14ac:dyDescent="0.35">
      <c r="A5" t="s">
        <v>4289</v>
      </c>
      <c r="B5" s="5">
        <f>MEDIAN(Sheet1!N2:N1201)</f>
        <v>823.61500000000001</v>
      </c>
      <c r="D5" t="s">
        <v>2403</v>
      </c>
      <c r="E5">
        <f>COUNTIF(Sheet1!$D$2:$D$1201,D5)</f>
        <v>163</v>
      </c>
      <c r="F5">
        <f>SUMIF(Sheet1!$D$2:$D$1201,D5,Sheet1!$N$2:$N$1201)</f>
        <v>175651.40999999997</v>
      </c>
      <c r="H5" t="s">
        <v>4300</v>
      </c>
      <c r="I5">
        <f>COUNTIF(Sheet1!$I$2:$I$1201,H5)</f>
        <v>0</v>
      </c>
    </row>
    <row r="6" spans="1:9" x14ac:dyDescent="0.35">
      <c r="A6" t="s">
        <v>4290</v>
      </c>
      <c r="B6" s="5">
        <f>MAX(Sheet1!N2:N1201)</f>
        <v>3456.4</v>
      </c>
      <c r="D6" t="s">
        <v>2407</v>
      </c>
      <c r="E6">
        <f>COUNTIF(Sheet1!$D$2:$D$1201,D6)</f>
        <v>181</v>
      </c>
      <c r="F6">
        <f>SUMIF(Sheet1!$D$2:$D$1201,D6,Sheet1!$N$2:$N$1201)</f>
        <v>195612.60999999996</v>
      </c>
      <c r="H6" t="s">
        <v>3072</v>
      </c>
      <c r="I6">
        <f>COUNTIF(Sheet1!$I$2:$I$1201,H6)</f>
        <v>247</v>
      </c>
    </row>
    <row r="7" spans="1:9" x14ac:dyDescent="0.35">
      <c r="A7" t="s">
        <v>4291</v>
      </c>
      <c r="B7" s="5">
        <f>MIN(Sheet1!N2:N1201)</f>
        <v>11.39</v>
      </c>
      <c r="D7" t="s">
        <v>2406</v>
      </c>
      <c r="E7">
        <f>COUNTIF(Sheet1!$D$2:$D$1201,D7)</f>
        <v>178</v>
      </c>
      <c r="F7">
        <f>SUMIF(Sheet1!$D$2:$D$1201,D7,Sheet1!$N$2:$N$1201)</f>
        <v>195620.11000000002</v>
      </c>
    </row>
    <row r="8" spans="1:9" x14ac:dyDescent="0.35">
      <c r="D8" t="s">
        <v>2409</v>
      </c>
      <c r="E8">
        <f>COUNTIF(Sheet1!$D$2:$D$1201,D8)</f>
        <v>170</v>
      </c>
      <c r="F8">
        <f>SUMIF(Sheet1!$D$2:$D$1201,D8,Sheet1!$N$2:$N$1201)</f>
        <v>167459.93</v>
      </c>
    </row>
    <row r="9" spans="1:9" x14ac:dyDescent="0.35">
      <c r="A9" t="s">
        <v>4292</v>
      </c>
      <c r="B9" s="8" t="s">
        <v>2407</v>
      </c>
    </row>
    <row r="10" spans="1:9" x14ac:dyDescent="0.35">
      <c r="A10" t="s">
        <v>4293</v>
      </c>
      <c r="B10" s="7" t="s">
        <v>3066</v>
      </c>
    </row>
    <row r="11" spans="1:9" x14ac:dyDescent="0.35">
      <c r="A11" t="s">
        <v>4293</v>
      </c>
      <c r="B11" s="7" t="s">
        <v>3074</v>
      </c>
    </row>
    <row r="12" spans="1:9" x14ac:dyDescent="0.35">
      <c r="A12" t="s">
        <v>4294</v>
      </c>
      <c r="B12">
        <f>SUM(Sheet1!E2:E1201)</f>
        <v>3535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PEEYUSH JENA</cp:lastModifiedBy>
  <dcterms:created xsi:type="dcterms:W3CDTF">2025-06-21T13:19:12Z</dcterms:created>
  <dcterms:modified xsi:type="dcterms:W3CDTF">2026-05-23T04:05:25Z</dcterms:modified>
</cp:coreProperties>
</file>